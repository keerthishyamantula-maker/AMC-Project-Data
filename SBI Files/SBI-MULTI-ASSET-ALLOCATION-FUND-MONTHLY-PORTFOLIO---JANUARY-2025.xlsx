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2025\Feb\0702\January 2025\"/>
    </mc:Choice>
  </mc:AlternateContent>
  <xr:revisionPtr revIDLastSave="0" documentId="8_{4A5B667A-FEC0-485E-BDA8-06D7C65B1F9A}" xr6:coauthVersionLast="47" xr6:coauthVersionMax="47" xr10:uidLastSave="{00000000-0000-0000-0000-000000000000}"/>
  <bookViews>
    <workbookView xWindow="-110" yWindow="-110" windowWidth="19420" windowHeight="10420" xr2:uid="{13AB0CE2-0B13-4EE5-961F-22A71FD78AED}"/>
  </bookViews>
  <sheets>
    <sheet name="SMAAF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2?">#REF!</definedName>
    <definedName name="XDO_?CLASS_3?3?">#REF!</definedName>
    <definedName name="XDO_?CLASS_3?35?">SMAAF!$C$8:$C$60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63?">SMAAF!$D$10:$D$60</definedName>
    <definedName name="XDO_?FINAL_ISIN?164?">SMAAF!$D$10:$D$68</definedName>
    <definedName name="XDO_?FINAL_ISIN?165?">SMAAF!$D$10:$D$73</definedName>
    <definedName name="XDO_?FINAL_ISIN?166?">SMAAF!$D$10:$D$109</definedName>
    <definedName name="XDO_?FINAL_ISIN?167?">SMAAF!$D$10:$D$119</definedName>
    <definedName name="XDO_?FINAL_ISIN?168?">SMAAF!$D$10:$D$123</definedName>
    <definedName name="XDO_?FINAL_ISIN?169?">SMAAF!$D$10:$D$130</definedName>
    <definedName name="XDO_?FINAL_ISIN?170?">SMAAF!$D$10:$D$143</definedName>
    <definedName name="XDO_?FINAL_ISIN?171?">SMAAF!$D$10:$D$155</definedName>
    <definedName name="XDO_?FINAL_ISIN?172?">SMAAF!$D$10:$D$160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49?">#REF!</definedName>
    <definedName name="XDO_?FINAL_ISIN?5?">#REF!</definedName>
    <definedName name="XDO_?FINAL_ISIN?50?">#REF!</definedName>
    <definedName name="XDO_?FINAL_ISIN?572?">#REF!</definedName>
    <definedName name="XDO_?FINAL_ISIN?573?">#REF!</definedName>
    <definedName name="XDO_?FINAL_ISIN?574?">#REF!</definedName>
    <definedName name="XDO_?FINAL_ISIN?575?">#REF!</definedName>
    <definedName name="XDO_?FINAL_ISIN?576?">#REF!</definedName>
    <definedName name="XDO_?FINAL_ISIN?577?">#REF!</definedName>
    <definedName name="XDO_?FINAL_ISIN?578?">#REF!</definedName>
    <definedName name="XDO_?FINAL_ISIN?579?">#REF!</definedName>
    <definedName name="XDO_?FINAL_ISIN?580?">#REF!</definedName>
    <definedName name="XDO_?FINAL_ISIN?581?">#REF!</definedName>
    <definedName name="XDO_?FINAL_ISIN?582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19?">[1]SFEF!$G$10:$G$33</definedName>
    <definedName name="XDO_?FINAL_MV?163?">SMAAF!$G$10:$G$60</definedName>
    <definedName name="XDO_?FINAL_MV?164?">SMAAF!$G$10:$G$68</definedName>
    <definedName name="XDO_?FINAL_MV?165?">SMAAF!$G$10:$G$73</definedName>
    <definedName name="XDO_?FINAL_MV?166?">SMAAF!$G$10:$G$109</definedName>
    <definedName name="XDO_?FINAL_MV?167?">SMAAF!$G$10:$G$119</definedName>
    <definedName name="XDO_?FINAL_MV?168?">SMAAF!$G$10:$G$123</definedName>
    <definedName name="XDO_?FINAL_MV?169?">SMAAF!$G$10:$G$130</definedName>
    <definedName name="XDO_?FINAL_MV?170?">SMAAF!$G$10:$G$143</definedName>
    <definedName name="XDO_?FINAL_MV?171?">SMAAF!$G$10:$G$155</definedName>
    <definedName name="XDO_?FINAL_MV?172?">SMAAF!$G$10:$G$160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29?">[1]SEHF!$G$10:$G$47</definedName>
    <definedName name="XDO_?FINAL_MV?3?">#REF!</definedName>
    <definedName name="XDO_?FINAL_MV?393?">[1]SBAF!$G$10:$G$107</definedName>
    <definedName name="XDO_?FINAL_MV?4?">#REF!</definedName>
    <definedName name="XDO_?FINAL_MV?41?">#REF!</definedName>
    <definedName name="XDO_?FINAL_MV?42?">#REF!</definedName>
    <definedName name="XDO_?FINAL_MV?49?">#REF!</definedName>
    <definedName name="XDO_?FINAL_MV?5?">#REF!</definedName>
    <definedName name="XDO_?FINAL_MV?50?">#REF!</definedName>
    <definedName name="XDO_?FINAL_MV?572?">#REF!</definedName>
    <definedName name="XDO_?FINAL_MV?573?">#REF!</definedName>
    <definedName name="XDO_?FINAL_MV?574?">#REF!</definedName>
    <definedName name="XDO_?FINAL_MV?575?">#REF!</definedName>
    <definedName name="XDO_?FINAL_MV?576?">#REF!</definedName>
    <definedName name="XDO_?FINAL_MV?577?">#REF!</definedName>
    <definedName name="XDO_?FINAL_MV?578?">#REF!</definedName>
    <definedName name="XDO_?FINAL_MV?579?">#REF!</definedName>
    <definedName name="XDO_?FINAL_MV?580?">#REF!</definedName>
    <definedName name="XDO_?FINAL_MV?581?">#REF!</definedName>
    <definedName name="XDO_?FINAL_MV?582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63?">SMAAF!$C$10:$C$60</definedName>
    <definedName name="XDO_?FINAL_NAME?164?">SMAAF!$C$10:$C$68</definedName>
    <definedName name="XDO_?FINAL_NAME?165?">SMAAF!$C$10:$C$73</definedName>
    <definedName name="XDO_?FINAL_NAME?166?">SMAAF!$C$10:$C$109</definedName>
    <definedName name="XDO_?FINAL_NAME?167?">SMAAF!$C$10:$C$119</definedName>
    <definedName name="XDO_?FINAL_NAME?168?">SMAAF!$C$10:$C$123</definedName>
    <definedName name="XDO_?FINAL_NAME?169?">SMAAF!$C$10:$C$130</definedName>
    <definedName name="XDO_?FINAL_NAME?170?">SMAAF!$C$10:$C$143</definedName>
    <definedName name="XDO_?FINAL_NAME?171?">SMAAF!$C$10:$C$155</definedName>
    <definedName name="XDO_?FINAL_NAME?172?">SMAAF!$C$10:$C$160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49?">#REF!</definedName>
    <definedName name="XDO_?FINAL_NAME?5?">#REF!</definedName>
    <definedName name="XDO_?FINAL_NAME?50?">#REF!</definedName>
    <definedName name="XDO_?FINAL_NAME?572?">#REF!</definedName>
    <definedName name="XDO_?FINAL_NAME?573?">#REF!</definedName>
    <definedName name="XDO_?FINAL_NAME?574?">#REF!</definedName>
    <definedName name="XDO_?FINAL_NAME?575?">#REF!</definedName>
    <definedName name="XDO_?FINAL_NAME?576?">#REF!</definedName>
    <definedName name="XDO_?FINAL_NAME?577?">#REF!</definedName>
    <definedName name="XDO_?FINAL_NAME?578?">#REF!</definedName>
    <definedName name="XDO_?FINAL_NAME?579?">#REF!</definedName>
    <definedName name="XDO_?FINAL_NAME?580?">#REF!</definedName>
    <definedName name="XDO_?FINAL_NAME?581?">#REF!</definedName>
    <definedName name="XDO_?FINAL_NAME?582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19?">[1]SFEF!$H$10:$H$33</definedName>
    <definedName name="XDO_?FINAL_PER_NET?163?">SMAAF!$H$10:$H$60</definedName>
    <definedName name="XDO_?FINAL_PER_NET?164?">SMAAF!$H$10:$H$68</definedName>
    <definedName name="XDO_?FINAL_PER_NET?165?">SMAAF!$H$10:$H$73</definedName>
    <definedName name="XDO_?FINAL_PER_NET?166?">SMAAF!$H$10:$H$109</definedName>
    <definedName name="XDO_?FINAL_PER_NET?167?">SMAAF!$H$10:$H$119</definedName>
    <definedName name="XDO_?FINAL_PER_NET?168?">SMAAF!$H$10:$H$123</definedName>
    <definedName name="XDO_?FINAL_PER_NET?169?">SMAAF!$H$10:$H$130</definedName>
    <definedName name="XDO_?FINAL_PER_NET?170?">SMAAF!$H$10:$H$143</definedName>
    <definedName name="XDO_?FINAL_PER_NET?171?">SMAAF!$H$10:$H$155</definedName>
    <definedName name="XDO_?FINAL_PER_NET?172?">SMAAF!$H$10:$H$160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29?">[1]SEHF!$H$10:$H$47</definedName>
    <definedName name="XDO_?FINAL_PER_NET?3?">#REF!</definedName>
    <definedName name="XDO_?FINAL_PER_NET?393?">[1]SBAF!$H$10:$H$107</definedName>
    <definedName name="XDO_?FINAL_PER_NET?4?">#REF!</definedName>
    <definedName name="XDO_?FINAL_PER_NET?41?">#REF!</definedName>
    <definedName name="XDO_?FINAL_PER_NET?42?">#REF!</definedName>
    <definedName name="XDO_?FINAL_PER_NET?49?">#REF!</definedName>
    <definedName name="XDO_?FINAL_PER_NET?5?">#REF!</definedName>
    <definedName name="XDO_?FINAL_PER_NET?50?">#REF!</definedName>
    <definedName name="XDO_?FINAL_PER_NET?572?">#REF!</definedName>
    <definedName name="XDO_?FINAL_PER_NET?573?">#REF!</definedName>
    <definedName name="XDO_?FINAL_PER_NET?574?">#REF!</definedName>
    <definedName name="XDO_?FINAL_PER_NET?575?">#REF!</definedName>
    <definedName name="XDO_?FINAL_PER_NET?576?">#REF!</definedName>
    <definedName name="XDO_?FINAL_PER_NET?577?">#REF!</definedName>
    <definedName name="XDO_?FINAL_PER_NET?578?">#REF!</definedName>
    <definedName name="XDO_?FINAL_PER_NET?579?">#REF!</definedName>
    <definedName name="XDO_?FINAL_PER_NET?580?">#REF!</definedName>
    <definedName name="XDO_?FINAL_PER_NET?581?">#REF!</definedName>
    <definedName name="XDO_?FINAL_PER_NET?582?">#REF!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63?">SMAAF!$F$10:$F$60</definedName>
    <definedName name="XDO_?FINAL_QUANTITE?164?">SMAAF!$F$10:$F$68</definedName>
    <definedName name="XDO_?FINAL_QUANTITE?165?">SMAAF!$F$10:$F$73</definedName>
    <definedName name="XDO_?FINAL_QUANTITE?166?">SMAAF!$F$10:$F$109</definedName>
    <definedName name="XDO_?FINAL_QUANTITE?167?">SMAAF!$F$10:$F$119</definedName>
    <definedName name="XDO_?FINAL_QUANTITE?168?">SMAAF!$F$10:$F$123</definedName>
    <definedName name="XDO_?FINAL_QUANTITE?169?">SMAAF!$F$10:$F$130</definedName>
    <definedName name="XDO_?FINAL_QUANTITE?170?">SMAAF!$F$10:$F$143</definedName>
    <definedName name="XDO_?FINAL_QUANTITE?171?">SMAAF!$F$10:$F$155</definedName>
    <definedName name="XDO_?FINAL_QUANTITE?172?">SMAAF!$F$10:$F$160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49?">#REF!</definedName>
    <definedName name="XDO_?FINAL_QUANTITE?5?">#REF!</definedName>
    <definedName name="XDO_?FINAL_QUANTITE?50?">#REF!</definedName>
    <definedName name="XDO_?FINAL_QUANTITE?572?">#REF!</definedName>
    <definedName name="XDO_?FINAL_QUANTITE?573?">#REF!</definedName>
    <definedName name="XDO_?FINAL_QUANTITE?574?">#REF!</definedName>
    <definedName name="XDO_?FINAL_QUANTITE?575?">#REF!</definedName>
    <definedName name="XDO_?FINAL_QUANTITE?576?">#REF!</definedName>
    <definedName name="XDO_?FINAL_QUANTITE?577?">#REF!</definedName>
    <definedName name="XDO_?FINAL_QUANTITE?578?">#REF!</definedName>
    <definedName name="XDO_?FINAL_QUANTITE?579?">#REF!</definedName>
    <definedName name="XDO_?FINAL_QUANTITE?580?">#REF!</definedName>
    <definedName name="XDO_?FINAL_QUANTITE?581?">#REF!</definedName>
    <definedName name="XDO_?FINAL_QUANTITE?582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[1]SEOF!#REF!</definedName>
    <definedName name="XDO_?NAMC?124?">'[1]SBI-AOF'!#REF!</definedName>
    <definedName name="XDO_?NAMC?125?">'[1]SBI Silver ETF'!#REF!</definedName>
    <definedName name="XDO_?NAMC?126?">'[1]SBI Silver ETF Fund of Fund'!#REF!</definedName>
    <definedName name="XDO_?NAMC?127?">'[1]SBI Nifty50 Equal Weight ETF'!#REF!</definedName>
    <definedName name="XDO_?NAMC?128?">[1]SIOF!#REF!</definedName>
    <definedName name="XDO_?NAMC?129?">'[1]SBI Nifty 500 Index Fund'!#REF!</definedName>
    <definedName name="XDO_?NAMC?13?">[1]SMIF!#REF!</definedName>
    <definedName name="XDO_?NAMC?130?">[1]SBINICIF!#REF!</definedName>
    <definedName name="XDO_?NAMC?131?">'[1]SBI Quant Fund'!#REF!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2?">#REF!</definedName>
    <definedName name="XDO_?NAMCNAME?3?">#REF!</definedName>
    <definedName name="XDO_?NAMCNAME?35?">SMAAF!$C$2:$C$60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[1]SEOF!#REF!</definedName>
    <definedName name="XDO_?NDATE?124?">'[1]SBI-AOF'!#REF!</definedName>
    <definedName name="XDO_?NDATE?125?">'[1]SBI Silver ETF'!#REF!</definedName>
    <definedName name="XDO_?NDATE?126?">'[1]SBI Silver ETF Fund of Fund'!#REF!</definedName>
    <definedName name="XDO_?NDATE?127?">'[1]SBI Nifty50 Equal Weight ETF'!#REF!</definedName>
    <definedName name="XDO_?NDATE?128?">[1]SIOF!#REF!</definedName>
    <definedName name="XDO_?NDATE?129?">'[1]SBI Nifty 500 Index Fund'!#REF!</definedName>
    <definedName name="XDO_?NDATE?13?">[1]SMIF!#REF!</definedName>
    <definedName name="XDO_?NDATE?130?">[1]SBINICIF!#REF!</definedName>
    <definedName name="XDO_?NDATE?131?">'[1]SBI Quant Fund'!#REF!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[1]SEOF!#REF!</definedName>
    <definedName name="XDO_?NNPTF?124?">'[1]SBI-AOF'!#REF!</definedName>
    <definedName name="XDO_?NNPTF?125?">'[1]SBI Silver ETF'!#REF!</definedName>
    <definedName name="XDO_?NNPTF?126?">'[1]SBI Silver ETF Fund of Fund'!#REF!</definedName>
    <definedName name="XDO_?NNPTF?127?">'[1]SBI Nifty50 Equal Weight ETF'!#REF!</definedName>
    <definedName name="XDO_?NNPTF?128?">[1]SIOF!#REF!</definedName>
    <definedName name="XDO_?NNPTF?129?">'[1]SBI Nifty 500 Index Fund'!#REF!</definedName>
    <definedName name="XDO_?NNPTF?13?">[1]SMIF!#REF!</definedName>
    <definedName name="XDO_?NNPTF?130?">[1]SBINICIF!#REF!</definedName>
    <definedName name="XDO_?NNPTF?131?">'[1]SBI Quant Fund'!#REF!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63?">SMAAF!$B$10:$B$60</definedName>
    <definedName name="XDO_?NOVAL?164?">SMAAF!$B$10:$B$68</definedName>
    <definedName name="XDO_?NOVAL?165?">SMAAF!$B$10:$B$73</definedName>
    <definedName name="XDO_?NOVAL?166?">SMAAF!$B$10:$B$109</definedName>
    <definedName name="XDO_?NOVAL?167?">SMAAF!$B$10:$B$119</definedName>
    <definedName name="XDO_?NOVAL?168?">SMAAF!$B$10:$B$123</definedName>
    <definedName name="XDO_?NOVAL?169?">SMAAF!$B$10:$B$130</definedName>
    <definedName name="XDO_?NOVAL?170?">SMAAF!$B$10:$B$143</definedName>
    <definedName name="XDO_?NOVAL?171?">SMAAF!$B$10:$B$155</definedName>
    <definedName name="XDO_?NOVAL?172?">SMAAF!$B$10:$B$160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49?">#REF!</definedName>
    <definedName name="XDO_?NOVAL?5?">#REF!</definedName>
    <definedName name="XDO_?NOVAL?50?">#REF!</definedName>
    <definedName name="XDO_?NOVAL?572?">#REF!</definedName>
    <definedName name="XDO_?NOVAL?573?">#REF!</definedName>
    <definedName name="XDO_?NOVAL?574?">#REF!</definedName>
    <definedName name="XDO_?NOVAL?575?">#REF!</definedName>
    <definedName name="XDO_?NOVAL?576?">#REF!</definedName>
    <definedName name="XDO_?NOVAL?577?">#REF!</definedName>
    <definedName name="XDO_?NOVAL?578?">#REF!</definedName>
    <definedName name="XDO_?NOVAL?579?">#REF!</definedName>
    <definedName name="XDO_?NOVAL?580?">#REF!</definedName>
    <definedName name="XDO_?NOVAL?581?">#REF!</definedName>
    <definedName name="XDO_?NOVAL?582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2?">#REF!</definedName>
    <definedName name="XDO_?NPTF?3?">#REF!</definedName>
    <definedName name="XDO_?NPTF?35?">SMAAF!$D$2:$D$60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63?">SMAAF!$E$10:$E$60</definedName>
    <definedName name="XDO_?RATING?164?">SMAAF!$E$10:$E$68</definedName>
    <definedName name="XDO_?RATING?165?">SMAAF!$E$10:$E$73</definedName>
    <definedName name="XDO_?RATING?166?">SMAAF!$E$10:$E$109</definedName>
    <definedName name="XDO_?RATING?167?">SMAAF!$E$10:$E$119</definedName>
    <definedName name="XDO_?RATING?168?">SMAAF!$E$10:$E$123</definedName>
    <definedName name="XDO_?RATING?169?">SMAAF!$E$10:$E$130</definedName>
    <definedName name="XDO_?RATING?170?">SMAAF!$E$10:$E$143</definedName>
    <definedName name="XDO_?RATING?171?">SMAAF!$E$10:$E$155</definedName>
    <definedName name="XDO_?RATING?172?">SMAAF!$E$10:$E$160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49?">#REF!</definedName>
    <definedName name="XDO_?RATING?5?">#REF!</definedName>
    <definedName name="XDO_?RATING?50?">#REF!</definedName>
    <definedName name="XDO_?RATING?572?">#REF!</definedName>
    <definedName name="XDO_?RATING?573?">#REF!</definedName>
    <definedName name="XDO_?RATING?574?">#REF!</definedName>
    <definedName name="XDO_?RATING?575?">#REF!</definedName>
    <definedName name="XDO_?RATING?576?">#REF!</definedName>
    <definedName name="XDO_?RATING?577?">#REF!</definedName>
    <definedName name="XDO_?RATING?578?">#REF!</definedName>
    <definedName name="XDO_?RATING?579?">#REF!</definedName>
    <definedName name="XDO_?RATING?580?">#REF!</definedName>
    <definedName name="XDO_?RATING?581?">#REF!</definedName>
    <definedName name="XDO_?RATING?582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63?">SMAAF!$K$10:$K$60</definedName>
    <definedName name="XDO_?REMARKS?164?">SMAAF!$K$10:$K$68</definedName>
    <definedName name="XDO_?REMARKS?165?">SMAAF!$K$10:$K$73</definedName>
    <definedName name="XDO_?REMARKS?166?">SMAAF!$K$10:$K$109</definedName>
    <definedName name="XDO_?REMARKS?167?">SMAAF!$K$10:$K$119</definedName>
    <definedName name="XDO_?REMARKS?168?">SMAAF!$K$10:$K$123</definedName>
    <definedName name="XDO_?REMARKS?169?">SMAAF!$K$10:$K$130</definedName>
    <definedName name="XDO_?REMARKS?170?">SMAAF!$K$10:$K$143</definedName>
    <definedName name="XDO_?REMARKS?171?">SMAAF!$K$10:$K$155</definedName>
    <definedName name="XDO_?REMARKS?172?">SMAAF!$K$10:$K$160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49?">#REF!</definedName>
    <definedName name="XDO_?REMARKS?5?">#REF!</definedName>
    <definedName name="XDO_?REMARKS?50?">#REF!</definedName>
    <definedName name="XDO_?REMARKS?572?">#REF!</definedName>
    <definedName name="XDO_?REMARKS?573?">#REF!</definedName>
    <definedName name="XDO_?REMARKS?574?">#REF!</definedName>
    <definedName name="XDO_?REMARKS?575?">#REF!</definedName>
    <definedName name="XDO_?REMARKS?576?">#REF!</definedName>
    <definedName name="XDO_?REMARKS?577?">#REF!</definedName>
    <definedName name="XDO_?REMARKS?578?">#REF!</definedName>
    <definedName name="XDO_?REMARKS?579?">#REF!</definedName>
    <definedName name="XDO_?REMARKS?580?">#REF!</definedName>
    <definedName name="XDO_?REMARKS?581?">#REF!</definedName>
    <definedName name="XDO_?REMARKS?582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2?">#REF!</definedName>
    <definedName name="XDO_?TITL?3?">#REF!</definedName>
    <definedName name="XDO_?TITL?35?">SMAAF!$A$8:$A$60</definedName>
    <definedName name="XDO_?TITL?4?">#REF!</definedName>
    <definedName name="XDO_?TITL?7?">#REF!</definedName>
    <definedName name="XDO_?TITL?8?">#REF!</definedName>
    <definedName name="XDO_?YTM?1?">#REF!</definedName>
    <definedName name="XDO_?YTM?163?">SMAAF!$I$10:$I$60</definedName>
    <definedName name="XDO_?YTM?164?">SMAAF!$I$10:$I$68</definedName>
    <definedName name="XDO_?YTM?165?">SMAAF!$I$10:$I$73</definedName>
    <definedName name="XDO_?YTM?166?">SMAAF!$I$10:$I$109</definedName>
    <definedName name="XDO_?YTM?167?">SMAAF!$I$10:$I$119</definedName>
    <definedName name="XDO_?YTM?168?">SMAAF!$I$10:$I$123</definedName>
    <definedName name="XDO_?YTM?169?">SMAAF!$I$10:$I$130</definedName>
    <definedName name="XDO_?YTM?170?">SMAAF!$I$10:$I$143</definedName>
    <definedName name="XDO_?YTM?171?">SMAAF!$I$10:$I$155</definedName>
    <definedName name="XDO_?YTM?172?">SMAAF!$I$10:$I$160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49?">#REF!</definedName>
    <definedName name="XDO_?YTM?5?">#REF!</definedName>
    <definedName name="XDO_?YTM?50?">#REF!</definedName>
    <definedName name="XDO_?YTM?572?">#REF!</definedName>
    <definedName name="XDO_?YTM?573?">#REF!</definedName>
    <definedName name="XDO_?YTM?574?">#REF!</definedName>
    <definedName name="XDO_?YTM?575?">#REF!</definedName>
    <definedName name="XDO_?YTM?576?">#REF!</definedName>
    <definedName name="XDO_?YTM?577?">#REF!</definedName>
    <definedName name="XDO_?YTM?578?">#REF!</definedName>
    <definedName name="XDO_?YTM?579?">#REF!</definedName>
    <definedName name="XDO_?YTM?580?">#REF!</definedName>
    <definedName name="XDO_?YTM?581?">#REF!</definedName>
    <definedName name="XDO_?YTM?582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2?">#REF!</definedName>
    <definedName name="XDO_GROUP_?G_2?3?">#REF!</definedName>
    <definedName name="XDO_GROUP_?G_2?35?">SMAAF!$2:$163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2?">#REF!</definedName>
    <definedName name="XDO_GROUP_?G_3?3?">#REF!</definedName>
    <definedName name="XDO_GROUP_?G_3?35?">SMAAF!$8:$162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63?">SMAAF!$B$10:$IV$60</definedName>
    <definedName name="XDO_GROUP_?G_4?164?">SMAAF!$B$68:$IV$68</definedName>
    <definedName name="XDO_GROUP_?G_4?165?">SMAAF!$B$72:$IV$73</definedName>
    <definedName name="XDO_GROUP_?G_4?166?">SMAAF!$B$82:$IV$109</definedName>
    <definedName name="XDO_GROUP_?G_4?167?">SMAAF!$B$117:$IV$119</definedName>
    <definedName name="XDO_GROUP_?G_4?168?">SMAAF!$B$123:$IV$123</definedName>
    <definedName name="XDO_GROUP_?G_4?169?">SMAAF!$B$130:$IV$130</definedName>
    <definedName name="XDO_GROUP_?G_4?170?">SMAAF!$B$141:$IV$143</definedName>
    <definedName name="XDO_GROUP_?G_4?171?">SMAAF!$B$155:$IV$155</definedName>
    <definedName name="XDO_GROUP_?G_4?172?">SMAAF!$B$160:$IV$160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1?">#REF!</definedName>
    <definedName name="XDO_GROUP_?G_4?42?">#REF!</definedName>
    <definedName name="XDO_GROUP_?G_4?49?">#REF!</definedName>
    <definedName name="XDO_GROUP_?G_4?5?">#REF!</definedName>
    <definedName name="XDO_GROUP_?G_4?50?">#REF!</definedName>
    <definedName name="XDO_GROUP_?G_4?552?">'[1]SBI Silver ETF'!#REF!</definedName>
    <definedName name="XDO_GROUP_?G_4?572?">#REF!</definedName>
    <definedName name="XDO_GROUP_?G_4?573?">#REF!</definedName>
    <definedName name="XDO_GROUP_?G_4?574?">#REF!</definedName>
    <definedName name="XDO_GROUP_?G_4?575?">#REF!</definedName>
    <definedName name="XDO_GROUP_?G_4?576?">#REF!</definedName>
    <definedName name="XDO_GROUP_?G_4?577?">#REF!</definedName>
    <definedName name="XDO_GROUP_?G_4?578?">#REF!</definedName>
    <definedName name="XDO_GROUP_?G_4?579?">#REF!</definedName>
    <definedName name="XDO_GROUP_?G_4?580?">#REF!</definedName>
    <definedName name="XDO_GROUP_?G_4?581?">#REF!</definedName>
    <definedName name="XDO_GROUP_?G_4?582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G61" i="1"/>
</calcChain>
</file>

<file path=xl/sharedStrings.xml><?xml version="1.0" encoding="utf-8"?>
<sst xmlns="http://schemas.openxmlformats.org/spreadsheetml/2006/main" count="485" uniqueCount="368">
  <si>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</si>
  <si>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</si>
  <si>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</si>
  <si>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</si>
  <si>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</si>
  <si>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</si>
  <si>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</si>
  <si>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</si>
  <si>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</si>
  <si>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</si>
  <si>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</si>
  <si>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</si>
  <si>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</si>
  <si>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</si>
  <si>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</si>
  <si>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</si>
  <si>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</si>
  <si>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</si>
  <si>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</si>
  <si>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</si>
  <si>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</si>
  <si>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</si>
  <si>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</si>
  <si>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</si>
  <si>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</si>
  <si>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100002</t>
  </si>
  <si>
    <t>Reliance Industries Ltd.</t>
  </si>
  <si>
    <t>INE002A01018</t>
  </si>
  <si>
    <t>Petroleum Products</t>
  </si>
  <si>
    <t>100011</t>
  </si>
  <si>
    <t>Wipro Ltd.</t>
  </si>
  <si>
    <t>INE075A01022</t>
  </si>
  <si>
    <t>100675</t>
  </si>
  <si>
    <t>VRL Logistics Ltd.</t>
  </si>
  <si>
    <t>INE366I01010</t>
  </si>
  <si>
    <t>Transport Services</t>
  </si>
  <si>
    <t>100112</t>
  </si>
  <si>
    <t>Punjab National Bank</t>
  </si>
  <si>
    <t>INE160A01022</t>
  </si>
  <si>
    <t>100447</t>
  </si>
  <si>
    <t>LTIMindtree Ltd.</t>
  </si>
  <si>
    <t>INE214T01019</t>
  </si>
  <si>
    <t>100024</t>
  </si>
  <si>
    <t>Axis Bank Ltd.</t>
  </si>
  <si>
    <t>INE238A01034</t>
  </si>
  <si>
    <t>100176</t>
  </si>
  <si>
    <t>GAIL (India) Ltd.</t>
  </si>
  <si>
    <t>INE129A01019</t>
  </si>
  <si>
    <t>Gas</t>
  </si>
  <si>
    <t>100421</t>
  </si>
  <si>
    <t>Dabur India Ltd.</t>
  </si>
  <si>
    <t>INE016A01026</t>
  </si>
  <si>
    <t>Personal Products</t>
  </si>
  <si>
    <t>100010</t>
  </si>
  <si>
    <t>State Bank of India</t>
  </si>
  <si>
    <t>INE062A01020</t>
  </si>
  <si>
    <t>100003</t>
  </si>
  <si>
    <t>Infosys Ltd.</t>
  </si>
  <si>
    <t>INE009A01021</t>
  </si>
  <si>
    <t>100043</t>
  </si>
  <si>
    <t>ZF Commercial Vehicle Control Systems India Ltd.</t>
  </si>
  <si>
    <t>INE342J01019</t>
  </si>
  <si>
    <t>Auto Components</t>
  </si>
  <si>
    <t>100111</t>
  </si>
  <si>
    <t>Oil &amp; Natural Gas Corporation Ltd.</t>
  </si>
  <si>
    <t>INE213A01029</t>
  </si>
  <si>
    <t>Oil</t>
  </si>
  <si>
    <t>100505</t>
  </si>
  <si>
    <t>ICICI Prudential Life Insurance Company Ltd.</t>
  </si>
  <si>
    <t>INE726G01019</t>
  </si>
  <si>
    <t>Insurance</t>
  </si>
  <si>
    <t>100694</t>
  </si>
  <si>
    <t>Indian Energy Exchange Ltd.</t>
  </si>
  <si>
    <t>INE022Q01020</t>
  </si>
  <si>
    <t>Capital Markets</t>
  </si>
  <si>
    <t>100292</t>
  </si>
  <si>
    <t>Steel Authority of India Ltd.</t>
  </si>
  <si>
    <t>INE114A01011</t>
  </si>
  <si>
    <t>Ferrous Metals</t>
  </si>
  <si>
    <t>100259</t>
  </si>
  <si>
    <t>Kalpataru Projects International Ltd.</t>
  </si>
  <si>
    <t>INE220B01022</t>
  </si>
  <si>
    <t>Construction</t>
  </si>
  <si>
    <t>100047</t>
  </si>
  <si>
    <t>Emami Ltd.</t>
  </si>
  <si>
    <t>INE548C01032</t>
  </si>
  <si>
    <t>102005</t>
  </si>
  <si>
    <t>Tata Technologies Ltd.</t>
  </si>
  <si>
    <t>INE142M01025</t>
  </si>
  <si>
    <t>IT - Services</t>
  </si>
  <si>
    <t>101378</t>
  </si>
  <si>
    <t>FSN E-Commerce Ventures Ltd.</t>
  </si>
  <si>
    <t>INE388Y01029</t>
  </si>
  <si>
    <t>Retailing</t>
  </si>
  <si>
    <t>100771</t>
  </si>
  <si>
    <t>Bandhan Bank Ltd.</t>
  </si>
  <si>
    <t>INE545U01014</t>
  </si>
  <si>
    <t>100536</t>
  </si>
  <si>
    <t>VIP Industries Ltd.</t>
  </si>
  <si>
    <t>INE054A01027</t>
  </si>
  <si>
    <t>Consumer Durables</t>
  </si>
  <si>
    <t>100550</t>
  </si>
  <si>
    <t>Sagar Cements Ltd.</t>
  </si>
  <si>
    <t>INE229C01021</t>
  </si>
  <si>
    <t>Cement &amp; Cement Products</t>
  </si>
  <si>
    <t>100227</t>
  </si>
  <si>
    <t>Jubilant Foodworks Ltd.</t>
  </si>
  <si>
    <t>INE797F01020</t>
  </si>
  <si>
    <t>Leisure Services</t>
  </si>
  <si>
    <t>100085</t>
  </si>
  <si>
    <t>Ashoka Buildcon Ltd.</t>
  </si>
  <si>
    <t>INE442H01029</t>
  </si>
  <si>
    <t>101207</t>
  </si>
  <si>
    <t>Restaurant Brands Asia Ltd.</t>
  </si>
  <si>
    <t>INE07T201019</t>
  </si>
  <si>
    <t>100257</t>
  </si>
  <si>
    <t>Whirlpool of India Ltd.</t>
  </si>
  <si>
    <t>INE716A01013</t>
  </si>
  <si>
    <t>100374</t>
  </si>
  <si>
    <t>CESC Ltd.</t>
  </si>
  <si>
    <t>INE486A01021</t>
  </si>
  <si>
    <t>Power</t>
  </si>
  <si>
    <t>101550</t>
  </si>
  <si>
    <t>Life Insurance Corporation of India</t>
  </si>
  <si>
    <t>INE0J1Y01017</t>
  </si>
  <si>
    <t>101370</t>
  </si>
  <si>
    <t>Gokaldas Exports Ltd.</t>
  </si>
  <si>
    <t>INE887G01027</t>
  </si>
  <si>
    <t>Textiles &amp; Apparels</t>
  </si>
  <si>
    <t>100012</t>
  </si>
  <si>
    <t>ICICI Bank Ltd.</t>
  </si>
  <si>
    <t>INE090A01021</t>
  </si>
  <si>
    <t>100126</t>
  </si>
  <si>
    <t>Britannia Industries Ltd.</t>
  </si>
  <si>
    <t>INE216A01030</t>
  </si>
  <si>
    <t>Food Products</t>
  </si>
  <si>
    <t>100256</t>
  </si>
  <si>
    <t>City Union Bank Ltd.</t>
  </si>
  <si>
    <t>INE491A01021</t>
  </si>
  <si>
    <t>100224</t>
  </si>
  <si>
    <t>Mahindra Lifespace Developers Ltd.</t>
  </si>
  <si>
    <t>INE813A01018</t>
  </si>
  <si>
    <t>Realty</t>
  </si>
  <si>
    <t>100566</t>
  </si>
  <si>
    <t>Laurus Labs Ltd.</t>
  </si>
  <si>
    <t>INE947Q01028</t>
  </si>
  <si>
    <t>Pharmaceuticals &amp; Biotechnology</t>
  </si>
  <si>
    <t>100743</t>
  </si>
  <si>
    <t>HeidelbergCement India Ltd.</t>
  </si>
  <si>
    <t>INE578A01017</t>
  </si>
  <si>
    <t>100147</t>
  </si>
  <si>
    <t>Tech Mahindra Ltd.</t>
  </si>
  <si>
    <t>INE669C01036</t>
  </si>
  <si>
    <t>100723</t>
  </si>
  <si>
    <t>Ashiana Housing Ltd.</t>
  </si>
  <si>
    <t>INE365D01021</t>
  </si>
  <si>
    <t>100095</t>
  </si>
  <si>
    <t>Bharti Airtel Ltd.</t>
  </si>
  <si>
    <t>INE397D01024</t>
  </si>
  <si>
    <t>Telecom - Services</t>
  </si>
  <si>
    <t>100223</t>
  </si>
  <si>
    <t>United Spirits Ltd.</t>
  </si>
  <si>
    <t>INE854D01024</t>
  </si>
  <si>
    <t>Beverages</t>
  </si>
  <si>
    <t>101469</t>
  </si>
  <si>
    <t>Equitas Small Finance Bank Ltd.</t>
  </si>
  <si>
    <t>INE063P01018</t>
  </si>
  <si>
    <t>100768</t>
  </si>
  <si>
    <t>V-Mart Retail Ltd.</t>
  </si>
  <si>
    <t>INE665J01013</t>
  </si>
  <si>
    <t>101200</t>
  </si>
  <si>
    <t>Gland Pharma Ltd.</t>
  </si>
  <si>
    <t>INE068V01023</t>
  </si>
  <si>
    <t>100814</t>
  </si>
  <si>
    <t>HDFC Asset Management Co. Ltd.</t>
  </si>
  <si>
    <t>INE127D01025</t>
  </si>
  <si>
    <t>100370</t>
  </si>
  <si>
    <t>Biocon Ltd.</t>
  </si>
  <si>
    <t>INE376G01013</t>
  </si>
  <si>
    <t>100165</t>
  </si>
  <si>
    <t>Rallis India Ltd.</t>
  </si>
  <si>
    <t>INE613A01020</t>
  </si>
  <si>
    <t>Fertilizers &amp; Agrochemicals</t>
  </si>
  <si>
    <t>101801</t>
  </si>
  <si>
    <t>Elin Electronics Ltd.</t>
  </si>
  <si>
    <t>INE050401020</t>
  </si>
  <si>
    <t>100138</t>
  </si>
  <si>
    <t>PVR Inox Ltd.</t>
  </si>
  <si>
    <t>INE191H01014</t>
  </si>
  <si>
    <t>Entertainment</t>
  </si>
  <si>
    <t>100033</t>
  </si>
  <si>
    <t>Indian Bank</t>
  </si>
  <si>
    <t>INE562A01011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</si>
  <si>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</si>
  <si>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</si>
  <si>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</si>
  <si>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</si>
  <si>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</si>
  <si>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</si>
  <si>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</si>
  <si>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Infrastructure Investment Trust</t>
  </si>
  <si>
    <t>3300006</t>
  </si>
  <si>
    <t>Cube Highways Trust</t>
  </si>
  <si>
    <t>INE0NR623014</t>
  </si>
  <si>
    <t>Transport Infrastructure</t>
  </si>
  <si>
    <t>e)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</si>
  <si>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</si>
  <si>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</si>
  <si>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</si>
  <si>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</si>
  <si>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</si>
  <si>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</si>
  <si>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f) Compulsory Convertible Debentures</t>
  </si>
  <si>
    <t>6200001</t>
  </si>
  <si>
    <t>Cholamandalam Investment &amp; Finance Co. Ltd.</t>
  </si>
  <si>
    <t>INE121A08PJ0</t>
  </si>
  <si>
    <t>Finance</t>
  </si>
  <si>
    <t>N**</t>
  </si>
  <si>
    <t>DEBT INSTRUMENTS</t>
  </si>
  <si>
    <t>a) Listed/awaiting listing on the stock exchanges</t>
  </si>
  <si>
    <t>704986</t>
  </si>
  <si>
    <t>Bharti Telecom Ltd.</t>
  </si>
  <si>
    <t>INE403D08264</t>
  </si>
  <si>
    <t>CRISIL AA+</t>
  </si>
  <si>
    <t>704927</t>
  </si>
  <si>
    <t>Tata Power Renewable Energy Ltd. (Guaranteed by Tata Power Ltd.)</t>
  </si>
  <si>
    <t>INE607M08105</t>
  </si>
  <si>
    <t>[ICRA]AA+</t>
  </si>
  <si>
    <t>704936</t>
  </si>
  <si>
    <t>Aditya Birla Renewables Ltd.</t>
  </si>
  <si>
    <t>INE01QP08016</t>
  </si>
  <si>
    <t>CRISIL AA</t>
  </si>
  <si>
    <t>704821</t>
  </si>
  <si>
    <t>Infopark Properties Ltd.</t>
  </si>
  <si>
    <t>INE0KZX07023</t>
  </si>
  <si>
    <t>CARE AA-</t>
  </si>
  <si>
    <t>704942</t>
  </si>
  <si>
    <t>Avanse Financial Services Ltd.</t>
  </si>
  <si>
    <t>INE087P07402</t>
  </si>
  <si>
    <t>704858</t>
  </si>
  <si>
    <t>SBFC Finance Ltd.</t>
  </si>
  <si>
    <t>INE423Y07112</t>
  </si>
  <si>
    <t>IND AA-</t>
  </si>
  <si>
    <t>705002</t>
  </si>
  <si>
    <t>Bank of Baroda( Tier II Bond under Basel III )</t>
  </si>
  <si>
    <t>INE028A08364</t>
  </si>
  <si>
    <t>CRISIL AAA</t>
  </si>
  <si>
    <t>705031</t>
  </si>
  <si>
    <t>Godrej Industries Ltd.</t>
  </si>
  <si>
    <t>INE233A08154</t>
  </si>
  <si>
    <t>704854</t>
  </si>
  <si>
    <t>Bajaj Housing Finance Ltd.</t>
  </si>
  <si>
    <t>INE377Y07508</t>
  </si>
  <si>
    <t>704738</t>
  </si>
  <si>
    <t>Renserv Global Pvt Ltd.</t>
  </si>
  <si>
    <t>INE0AY207053</t>
  </si>
  <si>
    <t>CARE A+(CE)</t>
  </si>
  <si>
    <t>702399</t>
  </si>
  <si>
    <t>Canara Bank( Tier II Bond under Basel III )</t>
  </si>
  <si>
    <t>INE476A08076</t>
  </si>
  <si>
    <t>IND AAA</t>
  </si>
  <si>
    <t>704778</t>
  </si>
  <si>
    <t>INE121A07SB3</t>
  </si>
  <si>
    <t>704589</t>
  </si>
  <si>
    <t>Tata Projects Ltd.</t>
  </si>
  <si>
    <t>INE725H08162</t>
  </si>
  <si>
    <t>IND AA</t>
  </si>
  <si>
    <t>704592</t>
  </si>
  <si>
    <t>Muthoot Finance Ltd.</t>
  </si>
  <si>
    <t>INE414G07IR6</t>
  </si>
  <si>
    <t>704671</t>
  </si>
  <si>
    <t>JM Financial Credit Solutions Ltd.</t>
  </si>
  <si>
    <t>INE651J07978</t>
  </si>
  <si>
    <t>[ICRA]AA</t>
  </si>
  <si>
    <t>704639</t>
  </si>
  <si>
    <t>Mahindra Rural Housing Finance Ltd.</t>
  </si>
  <si>
    <t>INE950O07438</t>
  </si>
  <si>
    <t>704484</t>
  </si>
  <si>
    <t>JM Financial Asset Reconstruction Company Ltd.</t>
  </si>
  <si>
    <t>INE265J07555</t>
  </si>
  <si>
    <t>CRISIL AA-</t>
  </si>
  <si>
    <t>704631</t>
  </si>
  <si>
    <t>SMFG India Home Finance Co. Ltd.</t>
  </si>
  <si>
    <t>INE213W07277</t>
  </si>
  <si>
    <t>704546</t>
  </si>
  <si>
    <t>JM Financial Services Ltd.</t>
  </si>
  <si>
    <t>INE012I07066</t>
  </si>
  <si>
    <t>704655</t>
  </si>
  <si>
    <t>Indostar Capital Finance Ltd.</t>
  </si>
  <si>
    <t>INE896L07942</t>
  </si>
  <si>
    <t>704850</t>
  </si>
  <si>
    <t>Sundaram Finance Ltd.</t>
  </si>
  <si>
    <t>INE660A08CI7</t>
  </si>
  <si>
    <t>704693</t>
  </si>
  <si>
    <t>INE950O07446</t>
  </si>
  <si>
    <t>704296</t>
  </si>
  <si>
    <t>INE087P07337</t>
  </si>
  <si>
    <t>703394</t>
  </si>
  <si>
    <t>L&amp;T Metro Rail (Hyderabad) Ltd. [Guaranteed by Larsen &amp; Toubro Ltd.]</t>
  </si>
  <si>
    <t>INE128M08060</t>
  </si>
  <si>
    <t>CRISIL AAA(CE)</t>
  </si>
  <si>
    <t>704443</t>
  </si>
  <si>
    <t>INE012I07041</t>
  </si>
  <si>
    <t>704291</t>
  </si>
  <si>
    <t>Aadhar Housing Finance Ltd.</t>
  </si>
  <si>
    <t>INE883F07306</t>
  </si>
  <si>
    <t>703923</t>
  </si>
  <si>
    <t>INE403D08132</t>
  </si>
  <si>
    <t>704114</t>
  </si>
  <si>
    <t>INE414G07HK3</t>
  </si>
  <si>
    <t>b) Privately Placed/Unlisted</t>
  </si>
  <si>
    <t>c) Securitised Debt Instruments</t>
  </si>
  <si>
    <t>d) Central Government Securities</t>
  </si>
  <si>
    <t>900308</t>
  </si>
  <si>
    <t>7.34% CGL 2064</t>
  </si>
  <si>
    <t>IN0020240035</t>
  </si>
  <si>
    <t>Sovereign</t>
  </si>
  <si>
    <t>900313</t>
  </si>
  <si>
    <t>6.79% CGL 2034</t>
  </si>
  <si>
    <t>IN0020240126</t>
  </si>
  <si>
    <t>900290</t>
  </si>
  <si>
    <t>7.06% CGL 2028</t>
  </si>
  <si>
    <t>IN0020230010</t>
  </si>
  <si>
    <t>e) State Government Securities</t>
  </si>
  <si>
    <t>1905733</t>
  </si>
  <si>
    <t>7.14% State Government of Haryana 2038</t>
  </si>
  <si>
    <t>IN1620240284</t>
  </si>
  <si>
    <t>MONEY MARKET INSTRUMENTS</t>
  </si>
  <si>
    <t>a) Commercial Paper</t>
  </si>
  <si>
    <t>b) Certificate of Deposits</t>
  </si>
  <si>
    <t>1102829</t>
  </si>
  <si>
    <t>Canara Bank</t>
  </si>
  <si>
    <t>INE476A16ZW3</t>
  </si>
  <si>
    <t>CRISIL A1+</t>
  </si>
  <si>
    <t>c) Treasury Bills</t>
  </si>
  <si>
    <t>d) Bills Re- Discounting</t>
  </si>
  <si>
    <t>e) STRIPS</t>
  </si>
  <si>
    <t>OTHERS</t>
  </si>
  <si>
    <t>a) Mutual Fund Units / Exchange Traded Funds</t>
  </si>
  <si>
    <t>417210</t>
  </si>
  <si>
    <t>SBI Gold ETF</t>
  </si>
  <si>
    <t>INF200KA16D8</t>
  </si>
  <si>
    <t>2800001</t>
  </si>
  <si>
    <t>Nippon India Silver ETF</t>
  </si>
  <si>
    <t>INF204KC1402</t>
  </si>
  <si>
    <t>2800002</t>
  </si>
  <si>
    <t>SBI Silver ETF</t>
  </si>
  <si>
    <t>INF200KB1217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</si>
  <si>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</si>
  <si>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</si>
  <si>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</si>
  <si>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</si>
  <si>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</si>
  <si>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302250100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</si>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</sst>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FE1C3F64-B460-4669-8F49-886B5AC75BAF}"/>
    <cellStyle name="Style 1" xfId="3" xr:uid="{A29C2A47-B376-4A9B-A2C4-54B20BDA3E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2</xdr:col>
      <xdr:colOff>2608633</xdr:colOff>
      <xdr:row>181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597780-6A4D-4A87-B8F5-7BD102C65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24675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174</xdr:row>
      <xdr:rowOff>0</xdr:rowOff>
    </xdr:from>
    <xdr:to>
      <xdr:col>5</xdr:col>
      <xdr:colOff>989978</xdr:colOff>
      <xdr:row>181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F1F8CB-2440-4C7C-B254-A4A7D3E8C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32467550"/>
          <a:ext cx="264732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Feb\0702\January%202025\All%20Schemes%20Monthly%20Portfolio%20-%20as%20on%2031st%20January%202025.xlsx" TargetMode="External"/><Relationship Id="rId1" Type="http://schemas.openxmlformats.org/officeDocument/2006/relationships/externalLinkPath" Target="All%20Schemes%20Monthly%20Portfolio%20-%20as%20on%2031st%20Januar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SIOF"/>
      <sheetName val="SBI Nifty 500 Index Fund"/>
      <sheetName val="SBINICIF"/>
      <sheetName val="SBI Quant Fund"/>
    </sheetNames>
    <sheetDataSet>
      <sheetData sheetId="0"/>
      <sheetData sheetId="1"/>
      <sheetData sheetId="2"/>
      <sheetData sheetId="3"/>
      <sheetData sheetId="4">
        <row r="10">
          <cell r="G10">
            <v>375840</v>
          </cell>
          <cell r="H10">
            <v>5.28</v>
          </cell>
        </row>
        <row r="11">
          <cell r="G11">
            <v>308997</v>
          </cell>
          <cell r="H11">
            <v>4.34</v>
          </cell>
        </row>
        <row r="12">
          <cell r="G12">
            <v>288787.5</v>
          </cell>
          <cell r="H12">
            <v>4.0599999999999996</v>
          </cell>
        </row>
        <row r="13">
          <cell r="G13">
            <v>281970</v>
          </cell>
          <cell r="H13">
            <v>3.96</v>
          </cell>
        </row>
        <row r="14">
          <cell r="G14">
            <v>263071.27</v>
          </cell>
          <cell r="H14">
            <v>3.7</v>
          </cell>
        </row>
        <row r="15">
          <cell r="G15">
            <v>261706.15</v>
          </cell>
          <cell r="H15">
            <v>3.68</v>
          </cell>
        </row>
        <row r="16">
          <cell r="G16">
            <v>244438.1</v>
          </cell>
          <cell r="H16">
            <v>3.44</v>
          </cell>
        </row>
        <row r="17">
          <cell r="G17">
            <v>235855.11</v>
          </cell>
          <cell r="H17">
            <v>3.32</v>
          </cell>
        </row>
        <row r="18">
          <cell r="G18">
            <v>231870</v>
          </cell>
          <cell r="H18">
            <v>3.26</v>
          </cell>
        </row>
        <row r="19">
          <cell r="G19">
            <v>225880</v>
          </cell>
          <cell r="H19">
            <v>3.18</v>
          </cell>
        </row>
        <row r="20">
          <cell r="G20">
            <v>223922.7</v>
          </cell>
          <cell r="H20">
            <v>3.15</v>
          </cell>
        </row>
        <row r="21">
          <cell r="G21">
            <v>219587.61</v>
          </cell>
          <cell r="H21">
            <v>3.09</v>
          </cell>
        </row>
        <row r="22">
          <cell r="G22">
            <v>193175.25</v>
          </cell>
          <cell r="H22">
            <v>2.72</v>
          </cell>
        </row>
        <row r="23">
          <cell r="G23">
            <v>178370</v>
          </cell>
          <cell r="H23">
            <v>2.5099999999999998</v>
          </cell>
        </row>
        <row r="24">
          <cell r="G24">
            <v>164496</v>
          </cell>
          <cell r="H24">
            <v>2.31</v>
          </cell>
        </row>
        <row r="25">
          <cell r="G25">
            <v>148575</v>
          </cell>
          <cell r="H25">
            <v>2.09</v>
          </cell>
        </row>
        <row r="26">
          <cell r="G26">
            <v>133091</v>
          </cell>
          <cell r="H26">
            <v>1.87</v>
          </cell>
        </row>
        <row r="27">
          <cell r="G27">
            <v>106737.4</v>
          </cell>
          <cell r="H27">
            <v>1.5</v>
          </cell>
        </row>
        <row r="28">
          <cell r="G28">
            <v>98945.55</v>
          </cell>
          <cell r="H28">
            <v>1.39</v>
          </cell>
        </row>
        <row r="29">
          <cell r="G29">
            <v>93376.99</v>
          </cell>
          <cell r="H29">
            <v>1.31</v>
          </cell>
        </row>
        <row r="30">
          <cell r="G30">
            <v>83838.75</v>
          </cell>
          <cell r="H30">
            <v>1.18</v>
          </cell>
        </row>
        <row r="31">
          <cell r="G31">
            <v>64029.17</v>
          </cell>
          <cell r="H31">
            <v>0.9</v>
          </cell>
        </row>
        <row r="32">
          <cell r="G32">
            <v>62352.58</v>
          </cell>
          <cell r="H32">
            <v>0.88</v>
          </cell>
        </row>
        <row r="33">
          <cell r="G33">
            <v>61330.5</v>
          </cell>
          <cell r="H33">
            <v>0.86</v>
          </cell>
        </row>
        <row r="34">
          <cell r="G34">
            <v>59024</v>
          </cell>
          <cell r="H34">
            <v>0.83</v>
          </cell>
        </row>
        <row r="35">
          <cell r="G35">
            <v>56982.720000000001</v>
          </cell>
          <cell r="H35">
            <v>0.8</v>
          </cell>
        </row>
        <row r="36">
          <cell r="G36">
            <v>55890.45</v>
          </cell>
          <cell r="H36">
            <v>0.79</v>
          </cell>
        </row>
        <row r="37">
          <cell r="G37">
            <v>54578.5</v>
          </cell>
          <cell r="H37">
            <v>0.77</v>
          </cell>
        </row>
        <row r="38">
          <cell r="G38">
            <v>48600</v>
          </cell>
          <cell r="H38">
            <v>0.68</v>
          </cell>
        </row>
        <row r="39">
          <cell r="G39">
            <v>46690</v>
          </cell>
          <cell r="H39">
            <v>0.66</v>
          </cell>
        </row>
        <row r="40">
          <cell r="G40">
            <v>42066.5</v>
          </cell>
          <cell r="H40">
            <v>0.59</v>
          </cell>
        </row>
        <row r="41">
          <cell r="G41">
            <v>34993.15</v>
          </cell>
          <cell r="H41">
            <v>0.49</v>
          </cell>
        </row>
        <row r="42">
          <cell r="G42">
            <v>33637.5</v>
          </cell>
          <cell r="H42">
            <v>0.47</v>
          </cell>
        </row>
        <row r="43">
          <cell r="G43">
            <v>27148.5</v>
          </cell>
          <cell r="H43">
            <v>0.38</v>
          </cell>
        </row>
        <row r="44">
          <cell r="G44">
            <v>17883.16</v>
          </cell>
          <cell r="H44">
            <v>0.25</v>
          </cell>
        </row>
        <row r="45">
          <cell r="G45">
            <v>13923</v>
          </cell>
          <cell r="H45">
            <v>0.2</v>
          </cell>
        </row>
        <row r="46">
          <cell r="G46">
            <v>9881.27</v>
          </cell>
          <cell r="H46">
            <v>0.14000000000000001</v>
          </cell>
        </row>
        <row r="47">
          <cell r="G47">
            <v>2157.1</v>
          </cell>
          <cell r="H47">
            <v>0.03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179887.5</v>
          </cell>
          <cell r="H10">
            <v>5.19</v>
          </cell>
        </row>
        <row r="11">
          <cell r="G11">
            <v>177767</v>
          </cell>
          <cell r="H11">
            <v>5.13</v>
          </cell>
        </row>
        <row r="12">
          <cell r="G12">
            <v>173927.6</v>
          </cell>
          <cell r="H12">
            <v>5.0199999999999996</v>
          </cell>
        </row>
        <row r="13">
          <cell r="G13">
            <v>165587.1</v>
          </cell>
          <cell r="H13">
            <v>4.7699999999999996</v>
          </cell>
        </row>
        <row r="14">
          <cell r="G14">
            <v>152887.5</v>
          </cell>
          <cell r="H14">
            <v>4.41</v>
          </cell>
        </row>
        <row r="15">
          <cell r="G15">
            <v>150202.70000000001</v>
          </cell>
          <cell r="H15">
            <v>4.33</v>
          </cell>
        </row>
        <row r="16">
          <cell r="G16">
            <v>149083.20000000001</v>
          </cell>
          <cell r="H16">
            <v>4.3</v>
          </cell>
        </row>
        <row r="17">
          <cell r="G17">
            <v>146857.1</v>
          </cell>
          <cell r="H17">
            <v>4.2300000000000004</v>
          </cell>
        </row>
        <row r="18">
          <cell r="G18">
            <v>142725.1</v>
          </cell>
          <cell r="H18">
            <v>4.12</v>
          </cell>
        </row>
        <row r="19">
          <cell r="G19">
            <v>139679.26</v>
          </cell>
          <cell r="H19">
            <v>4.03</v>
          </cell>
        </row>
        <row r="20">
          <cell r="G20">
            <v>138065.72</v>
          </cell>
          <cell r="H20">
            <v>3.98</v>
          </cell>
        </row>
        <row r="21">
          <cell r="G21">
            <v>122301.96</v>
          </cell>
          <cell r="H21">
            <v>3.53</v>
          </cell>
        </row>
        <row r="22">
          <cell r="G22">
            <v>119468.9</v>
          </cell>
          <cell r="H22">
            <v>3.45</v>
          </cell>
        </row>
        <row r="23">
          <cell r="G23">
            <v>96039.85</v>
          </cell>
          <cell r="H23">
            <v>2.77</v>
          </cell>
        </row>
        <row r="24">
          <cell r="G24">
            <v>86247.34</v>
          </cell>
          <cell r="H24">
            <v>2.4900000000000002</v>
          </cell>
        </row>
        <row r="25">
          <cell r="G25">
            <v>84974.75</v>
          </cell>
          <cell r="H25">
            <v>2.4500000000000002</v>
          </cell>
        </row>
        <row r="26">
          <cell r="G26">
            <v>84789</v>
          </cell>
          <cell r="H26">
            <v>2.4500000000000002</v>
          </cell>
        </row>
        <row r="27">
          <cell r="G27">
            <v>81135.600000000006</v>
          </cell>
          <cell r="H27">
            <v>2.34</v>
          </cell>
        </row>
        <row r="28">
          <cell r="G28">
            <v>77238</v>
          </cell>
          <cell r="H28">
            <v>2.23</v>
          </cell>
        </row>
        <row r="29">
          <cell r="G29">
            <v>74340</v>
          </cell>
          <cell r="H29">
            <v>2.14</v>
          </cell>
        </row>
        <row r="30">
          <cell r="G30">
            <v>65559</v>
          </cell>
          <cell r="H30">
            <v>1.89</v>
          </cell>
        </row>
        <row r="31">
          <cell r="G31">
            <v>63392.36</v>
          </cell>
          <cell r="H31">
            <v>1.83</v>
          </cell>
        </row>
        <row r="32">
          <cell r="G32">
            <v>54945</v>
          </cell>
          <cell r="H32">
            <v>1.58</v>
          </cell>
        </row>
        <row r="33">
          <cell r="G33">
            <v>35315</v>
          </cell>
          <cell r="H33">
            <v>1.02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0">
          <cell r="G10">
            <v>164466.64000000001</v>
          </cell>
          <cell r="H10">
            <v>4.9400000000000004</v>
          </cell>
        </row>
        <row r="11">
          <cell r="G11">
            <v>152887.87</v>
          </cell>
          <cell r="H11">
            <v>4.59</v>
          </cell>
        </row>
        <row r="12">
          <cell r="G12">
            <v>110522.53</v>
          </cell>
          <cell r="H12">
            <v>3.32</v>
          </cell>
        </row>
        <row r="13">
          <cell r="G13">
            <v>92652.479999999996</v>
          </cell>
          <cell r="H13">
            <v>2.78</v>
          </cell>
        </row>
        <row r="14">
          <cell r="G14">
            <v>81171.929999999993</v>
          </cell>
          <cell r="H14">
            <v>2.44</v>
          </cell>
        </row>
        <row r="15">
          <cell r="G15">
            <v>74551.539999999994</v>
          </cell>
          <cell r="H15">
            <v>2.2400000000000002</v>
          </cell>
        </row>
        <row r="16">
          <cell r="G16">
            <v>71731.5</v>
          </cell>
          <cell r="H16">
            <v>2.15</v>
          </cell>
        </row>
        <row r="17">
          <cell r="G17">
            <v>71314.92</v>
          </cell>
          <cell r="H17">
            <v>2.14</v>
          </cell>
        </row>
        <row r="18">
          <cell r="G18">
            <v>70391.990000000005</v>
          </cell>
          <cell r="H18">
            <v>2.11</v>
          </cell>
        </row>
        <row r="19">
          <cell r="G19">
            <v>63948.18</v>
          </cell>
          <cell r="H19">
            <v>1.92</v>
          </cell>
        </row>
        <row r="20">
          <cell r="G20">
            <v>59858.37</v>
          </cell>
          <cell r="H20">
            <v>1.8</v>
          </cell>
        </row>
        <row r="21">
          <cell r="G21">
            <v>56587.39</v>
          </cell>
          <cell r="H21">
            <v>1.7</v>
          </cell>
        </row>
        <row r="22">
          <cell r="G22">
            <v>54445.63</v>
          </cell>
          <cell r="H22">
            <v>1.63</v>
          </cell>
        </row>
        <row r="23">
          <cell r="G23">
            <v>53159.94</v>
          </cell>
          <cell r="H23">
            <v>1.6</v>
          </cell>
        </row>
        <row r="24">
          <cell r="G24">
            <v>52740.45</v>
          </cell>
          <cell r="H24">
            <v>1.58</v>
          </cell>
        </row>
        <row r="25">
          <cell r="G25">
            <v>48613.2</v>
          </cell>
          <cell r="H25">
            <v>1.46</v>
          </cell>
        </row>
        <row r="26">
          <cell r="G26">
            <v>43973.22</v>
          </cell>
          <cell r="H26">
            <v>1.32</v>
          </cell>
        </row>
        <row r="27">
          <cell r="G27">
            <v>39566.050000000003</v>
          </cell>
          <cell r="H27">
            <v>1.19</v>
          </cell>
        </row>
        <row r="28">
          <cell r="G28">
            <v>37847.35</v>
          </cell>
          <cell r="H28">
            <v>1.1399999999999999</v>
          </cell>
        </row>
        <row r="29">
          <cell r="G29">
            <v>37132.54</v>
          </cell>
          <cell r="H29">
            <v>1.1100000000000001</v>
          </cell>
        </row>
        <row r="30">
          <cell r="G30">
            <v>36331.879999999997</v>
          </cell>
          <cell r="H30">
            <v>1.0900000000000001</v>
          </cell>
        </row>
        <row r="31">
          <cell r="G31">
            <v>35059.730000000003</v>
          </cell>
          <cell r="H31">
            <v>1.05</v>
          </cell>
        </row>
        <row r="32">
          <cell r="G32">
            <v>31993.01</v>
          </cell>
          <cell r="H32">
            <v>0.96</v>
          </cell>
        </row>
        <row r="33">
          <cell r="G33">
            <v>31705.37</v>
          </cell>
          <cell r="H33">
            <v>0.95</v>
          </cell>
        </row>
        <row r="34">
          <cell r="G34">
            <v>31614.02</v>
          </cell>
          <cell r="H34">
            <v>0.95</v>
          </cell>
        </row>
        <row r="35">
          <cell r="G35">
            <v>29855.919999999998</v>
          </cell>
          <cell r="H35">
            <v>0.9</v>
          </cell>
        </row>
        <row r="36">
          <cell r="G36">
            <v>27777.57</v>
          </cell>
          <cell r="H36">
            <v>0.83</v>
          </cell>
        </row>
        <row r="37">
          <cell r="G37">
            <v>27387.41</v>
          </cell>
          <cell r="H37">
            <v>0.82</v>
          </cell>
        </row>
        <row r="38">
          <cell r="G38">
            <v>26825.98</v>
          </cell>
          <cell r="H38">
            <v>0.81</v>
          </cell>
        </row>
        <row r="39">
          <cell r="G39">
            <v>26544.78</v>
          </cell>
          <cell r="H39">
            <v>0.8</v>
          </cell>
        </row>
        <row r="40">
          <cell r="G40">
            <v>26254.02</v>
          </cell>
          <cell r="H40">
            <v>0.79</v>
          </cell>
        </row>
        <row r="41">
          <cell r="G41">
            <v>25719.07</v>
          </cell>
          <cell r="H41">
            <v>0.77</v>
          </cell>
        </row>
        <row r="42">
          <cell r="G42">
            <v>24892.13</v>
          </cell>
          <cell r="H42">
            <v>0.75</v>
          </cell>
        </row>
        <row r="43">
          <cell r="G43">
            <v>22565.02</v>
          </cell>
          <cell r="H43">
            <v>0.68</v>
          </cell>
        </row>
        <row r="44">
          <cell r="G44">
            <v>21105.1</v>
          </cell>
          <cell r="H44">
            <v>0.63</v>
          </cell>
        </row>
        <row r="45">
          <cell r="G45">
            <v>20686.43</v>
          </cell>
          <cell r="H45">
            <v>0.62</v>
          </cell>
        </row>
        <row r="46">
          <cell r="G46">
            <v>20443.689999999999</v>
          </cell>
          <cell r="H46">
            <v>0.61</v>
          </cell>
        </row>
        <row r="47">
          <cell r="G47">
            <v>19566.84</v>
          </cell>
          <cell r="H47">
            <v>0.59</v>
          </cell>
        </row>
        <row r="48">
          <cell r="G48">
            <v>18976.29</v>
          </cell>
          <cell r="H48">
            <v>0.56999999999999995</v>
          </cell>
        </row>
        <row r="49">
          <cell r="G49">
            <v>18737.77</v>
          </cell>
          <cell r="H49">
            <v>0.56000000000000005</v>
          </cell>
        </row>
        <row r="50">
          <cell r="G50">
            <v>15993.9</v>
          </cell>
          <cell r="H50">
            <v>0.48</v>
          </cell>
        </row>
        <row r="51">
          <cell r="G51">
            <v>13657.37</v>
          </cell>
          <cell r="H51">
            <v>0.41</v>
          </cell>
        </row>
        <row r="52">
          <cell r="G52">
            <v>13147.92</v>
          </cell>
          <cell r="H52">
            <v>0.39</v>
          </cell>
        </row>
        <row r="53">
          <cell r="G53">
            <v>12842</v>
          </cell>
          <cell r="H53">
            <v>0.39</v>
          </cell>
        </row>
        <row r="54">
          <cell r="G54">
            <v>11298.83</v>
          </cell>
          <cell r="H54">
            <v>0.34</v>
          </cell>
        </row>
        <row r="55">
          <cell r="G55">
            <v>10168.19</v>
          </cell>
          <cell r="H55">
            <v>0.31</v>
          </cell>
        </row>
        <row r="56">
          <cell r="G56">
            <v>9354.86</v>
          </cell>
          <cell r="H56">
            <v>0.28000000000000003</v>
          </cell>
        </row>
        <row r="57">
          <cell r="G57">
            <v>9186.39</v>
          </cell>
          <cell r="H57">
            <v>0.28000000000000003</v>
          </cell>
        </row>
        <row r="58">
          <cell r="G58">
            <v>8673.3799999999992</v>
          </cell>
          <cell r="H58">
            <v>0.26</v>
          </cell>
        </row>
        <row r="59">
          <cell r="G59">
            <v>8269.31</v>
          </cell>
          <cell r="H59">
            <v>0.25</v>
          </cell>
        </row>
        <row r="60">
          <cell r="G60">
            <v>7571.5</v>
          </cell>
          <cell r="H60">
            <v>0.23</v>
          </cell>
        </row>
        <row r="61">
          <cell r="G61">
            <v>7531.09</v>
          </cell>
          <cell r="H61">
            <v>0.23</v>
          </cell>
        </row>
        <row r="62">
          <cell r="G62">
            <v>6917.6</v>
          </cell>
          <cell r="H62">
            <v>0.21</v>
          </cell>
        </row>
        <row r="63">
          <cell r="G63">
            <v>6877.81</v>
          </cell>
          <cell r="H63">
            <v>0.21</v>
          </cell>
        </row>
        <row r="64">
          <cell r="G64">
            <v>6547.55</v>
          </cell>
          <cell r="H64">
            <v>0.2</v>
          </cell>
        </row>
        <row r="65">
          <cell r="G65">
            <v>6537.11</v>
          </cell>
          <cell r="H65">
            <v>0.2</v>
          </cell>
        </row>
        <row r="66">
          <cell r="G66">
            <v>6530.89</v>
          </cell>
          <cell r="H66">
            <v>0.2</v>
          </cell>
        </row>
        <row r="67">
          <cell r="G67">
            <v>6303.76</v>
          </cell>
          <cell r="H67">
            <v>0.19</v>
          </cell>
        </row>
        <row r="68">
          <cell r="G68">
            <v>6272.15</v>
          </cell>
          <cell r="H68">
            <v>0.19</v>
          </cell>
        </row>
        <row r="69">
          <cell r="G69">
            <v>5941.49</v>
          </cell>
          <cell r="H69">
            <v>0.18</v>
          </cell>
        </row>
        <row r="70">
          <cell r="G70">
            <v>5298.1</v>
          </cell>
          <cell r="H70">
            <v>0.16</v>
          </cell>
        </row>
        <row r="71">
          <cell r="G71">
            <v>4837.0600000000004</v>
          </cell>
          <cell r="H71">
            <v>0.15</v>
          </cell>
        </row>
        <row r="72">
          <cell r="G72">
            <v>4783.47</v>
          </cell>
          <cell r="H72">
            <v>0.14000000000000001</v>
          </cell>
        </row>
        <row r="73">
          <cell r="G73">
            <v>4759.71</v>
          </cell>
          <cell r="H73">
            <v>0.14000000000000001</v>
          </cell>
        </row>
        <row r="74">
          <cell r="G74">
            <v>4581.38</v>
          </cell>
          <cell r="H74">
            <v>0.14000000000000001</v>
          </cell>
        </row>
        <row r="75">
          <cell r="G75">
            <v>4532.29</v>
          </cell>
          <cell r="H75">
            <v>0.14000000000000001</v>
          </cell>
        </row>
        <row r="76">
          <cell r="G76">
            <v>4417.74</v>
          </cell>
          <cell r="H76">
            <v>0.13</v>
          </cell>
        </row>
        <row r="77">
          <cell r="G77">
            <v>3546.59</v>
          </cell>
          <cell r="H77">
            <v>0.11</v>
          </cell>
        </row>
        <row r="78">
          <cell r="G78">
            <v>3494.95</v>
          </cell>
          <cell r="H78">
            <v>0.1</v>
          </cell>
        </row>
        <row r="79">
          <cell r="G79">
            <v>3126.12</v>
          </cell>
          <cell r="H79">
            <v>0.09</v>
          </cell>
        </row>
        <row r="80">
          <cell r="G80">
            <v>2953.92</v>
          </cell>
          <cell r="H80">
            <v>0.09</v>
          </cell>
        </row>
        <row r="81">
          <cell r="G81">
            <v>2948.56</v>
          </cell>
          <cell r="H81">
            <v>0.09</v>
          </cell>
        </row>
        <row r="82">
          <cell r="G82">
            <v>2701.16</v>
          </cell>
          <cell r="H82">
            <v>0.08</v>
          </cell>
        </row>
        <row r="83">
          <cell r="G83">
            <v>2456.1799999999998</v>
          </cell>
          <cell r="H83">
            <v>7.0000000000000007E-2</v>
          </cell>
        </row>
        <row r="84">
          <cell r="G84">
            <v>1971.91</v>
          </cell>
          <cell r="H84">
            <v>0.06</v>
          </cell>
        </row>
        <row r="85">
          <cell r="G85">
            <v>1370.58</v>
          </cell>
          <cell r="H85">
            <v>0.04</v>
          </cell>
        </row>
        <row r="86">
          <cell r="G86">
            <v>1231.44</v>
          </cell>
          <cell r="H86">
            <v>0.04</v>
          </cell>
        </row>
        <row r="87">
          <cell r="G87">
            <v>1196.2</v>
          </cell>
          <cell r="H87">
            <v>0.04</v>
          </cell>
        </row>
        <row r="88">
          <cell r="G88">
            <v>1182.1199999999999</v>
          </cell>
          <cell r="H88">
            <v>0.04</v>
          </cell>
        </row>
        <row r="89">
          <cell r="G89">
            <v>1157.1500000000001</v>
          </cell>
          <cell r="H89">
            <v>0.03</v>
          </cell>
        </row>
        <row r="90">
          <cell r="G90">
            <v>1069.8499999999999</v>
          </cell>
          <cell r="H90">
            <v>0.03</v>
          </cell>
        </row>
        <row r="91">
          <cell r="G91">
            <v>953.06</v>
          </cell>
          <cell r="H91">
            <v>0.03</v>
          </cell>
        </row>
        <row r="92">
          <cell r="G92">
            <v>941.59</v>
          </cell>
          <cell r="H92">
            <v>0.03</v>
          </cell>
        </row>
        <row r="93">
          <cell r="G93">
            <v>779.06</v>
          </cell>
          <cell r="H93">
            <v>0.02</v>
          </cell>
        </row>
        <row r="94">
          <cell r="G94">
            <v>707.91</v>
          </cell>
          <cell r="H94">
            <v>0.02</v>
          </cell>
        </row>
        <row r="95">
          <cell r="G95">
            <v>598.98</v>
          </cell>
          <cell r="H95">
            <v>0.02</v>
          </cell>
        </row>
        <row r="96">
          <cell r="G96">
            <v>549.99</v>
          </cell>
          <cell r="H96">
            <v>0.02</v>
          </cell>
        </row>
        <row r="97">
          <cell r="G97">
            <v>531.47</v>
          </cell>
          <cell r="H97">
            <v>0.02</v>
          </cell>
        </row>
        <row r="98">
          <cell r="G98">
            <v>476.74</v>
          </cell>
          <cell r="H98">
            <v>0.01</v>
          </cell>
        </row>
        <row r="99">
          <cell r="G99">
            <v>386.73</v>
          </cell>
          <cell r="H99">
            <v>0.01</v>
          </cell>
        </row>
        <row r="100">
          <cell r="G100">
            <v>365.26</v>
          </cell>
          <cell r="H100">
            <v>0.01</v>
          </cell>
        </row>
        <row r="101">
          <cell r="G101">
            <v>229.19</v>
          </cell>
          <cell r="H101">
            <v>0.01</v>
          </cell>
        </row>
        <row r="102">
          <cell r="G102">
            <v>211.44</v>
          </cell>
          <cell r="H102">
            <v>0.01</v>
          </cell>
        </row>
        <row r="103">
          <cell r="G103">
            <v>189.86</v>
          </cell>
          <cell r="H103">
            <v>0.01</v>
          </cell>
        </row>
        <row r="104">
          <cell r="G104">
            <v>128.84</v>
          </cell>
          <cell r="H104" t="str">
            <v>#</v>
          </cell>
        </row>
        <row r="105">
          <cell r="G105">
            <v>45.88</v>
          </cell>
          <cell r="H105" t="str">
            <v>#</v>
          </cell>
        </row>
        <row r="106">
          <cell r="G106">
            <v>9.23</v>
          </cell>
          <cell r="H106" t="str">
            <v>#</v>
          </cell>
        </row>
        <row r="107">
          <cell r="G107">
            <v>3.04</v>
          </cell>
          <cell r="H107" t="str">
            <v>#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E4BC6-72D3-41C7-90D2-0252CFCB3F1E}">
  <sheetPr codeName="Sheet126"/>
  <dimension ref="A1:IV174"/>
  <sheetViews>
    <sheetView showGridLines="0" tabSelected="1" zoomScale="90" zoomScaleNormal="90" workbookViewId="0">
      <pane ySplit="6" topLeftCell="A158" activePane="bottomLeft" state="frozen"/>
      <selection activeCell="A6" sqref="A6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45688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921000</v>
      </c>
      <c r="G10" s="34">
        <v>15645.49</v>
      </c>
      <c r="H10" s="34">
        <v>2.19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780000</v>
      </c>
      <c r="G11" s="34">
        <v>13458.51</v>
      </c>
      <c r="H11" s="34">
        <v>1.88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820000</v>
      </c>
      <c r="G12" s="34">
        <v>10373.82</v>
      </c>
      <c r="H12" s="34">
        <v>1.45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24</v>
      </c>
      <c r="F13" s="33">
        <v>3000000</v>
      </c>
      <c r="G13" s="34">
        <v>9357</v>
      </c>
      <c r="H13" s="34">
        <v>1.31</v>
      </c>
      <c r="I13" s="35"/>
      <c r="J13" s="35"/>
      <c r="K13" s="36"/>
    </row>
    <row r="14" spans="1:54" x14ac:dyDescent="0.35">
      <c r="B14" s="1" t="s">
        <v>32</v>
      </c>
      <c r="C14" s="21" t="s">
        <v>33</v>
      </c>
      <c r="D14" s="31" t="s">
        <v>34</v>
      </c>
      <c r="E14" s="32" t="s">
        <v>35</v>
      </c>
      <c r="F14" s="33">
        <v>1870000</v>
      </c>
      <c r="G14" s="34">
        <v>8818.92</v>
      </c>
      <c r="H14" s="34">
        <v>1.24</v>
      </c>
      <c r="I14" s="35"/>
      <c r="J14" s="35"/>
      <c r="K14" s="36"/>
    </row>
    <row r="15" spans="1:54" x14ac:dyDescent="0.35">
      <c r="B15" s="1" t="s">
        <v>36</v>
      </c>
      <c r="C15" s="21" t="s">
        <v>37</v>
      </c>
      <c r="D15" s="31" t="s">
        <v>38</v>
      </c>
      <c r="E15" s="32" t="s">
        <v>20</v>
      </c>
      <c r="F15" s="33">
        <v>8000000</v>
      </c>
      <c r="G15" s="34">
        <v>8096</v>
      </c>
      <c r="H15" s="34">
        <v>1.1299999999999999</v>
      </c>
      <c r="I15" s="35"/>
      <c r="J15" s="35"/>
      <c r="K15" s="36"/>
    </row>
    <row r="16" spans="1:54" x14ac:dyDescent="0.35">
      <c r="B16" s="1" t="s">
        <v>39</v>
      </c>
      <c r="C16" s="21" t="s">
        <v>40</v>
      </c>
      <c r="D16" s="31" t="s">
        <v>41</v>
      </c>
      <c r="E16" s="32" t="s">
        <v>24</v>
      </c>
      <c r="F16" s="33">
        <v>135247</v>
      </c>
      <c r="G16" s="34">
        <v>7998.71</v>
      </c>
      <c r="H16" s="34">
        <v>1.1200000000000001</v>
      </c>
      <c r="I16" s="35"/>
      <c r="J16" s="35"/>
      <c r="K16" s="36"/>
    </row>
    <row r="17" spans="2:11" x14ac:dyDescent="0.35">
      <c r="B17" s="1" t="s">
        <v>42</v>
      </c>
      <c r="C17" s="21" t="s">
        <v>43</v>
      </c>
      <c r="D17" s="31" t="s">
        <v>44</v>
      </c>
      <c r="E17" s="32" t="s">
        <v>20</v>
      </c>
      <c r="F17" s="33">
        <v>800000</v>
      </c>
      <c r="G17" s="34">
        <v>7888.8</v>
      </c>
      <c r="H17" s="34">
        <v>1.1000000000000001</v>
      </c>
      <c r="I17" s="35"/>
      <c r="J17" s="35"/>
      <c r="K17" s="36"/>
    </row>
    <row r="18" spans="2:11" x14ac:dyDescent="0.35">
      <c r="B18" s="1" t="s">
        <v>45</v>
      </c>
      <c r="C18" s="21" t="s">
        <v>46</v>
      </c>
      <c r="D18" s="31" t="s">
        <v>47</v>
      </c>
      <c r="E18" s="32" t="s">
        <v>48</v>
      </c>
      <c r="F18" s="33">
        <v>4350297</v>
      </c>
      <c r="G18" s="34">
        <v>7705.25</v>
      </c>
      <c r="H18" s="34">
        <v>1.08</v>
      </c>
      <c r="I18" s="35"/>
      <c r="J18" s="35"/>
      <c r="K18" s="36"/>
    </row>
    <row r="19" spans="2:11" x14ac:dyDescent="0.35">
      <c r="B19" s="1" t="s">
        <v>49</v>
      </c>
      <c r="C19" s="21" t="s">
        <v>50</v>
      </c>
      <c r="D19" s="31" t="s">
        <v>51</v>
      </c>
      <c r="E19" s="32" t="s">
        <v>52</v>
      </c>
      <c r="F19" s="33">
        <v>1400000</v>
      </c>
      <c r="G19" s="34">
        <v>7417.9</v>
      </c>
      <c r="H19" s="34">
        <v>1.04</v>
      </c>
      <c r="I19" s="35"/>
      <c r="J19" s="35"/>
      <c r="K19" s="36"/>
    </row>
    <row r="20" spans="2:11" x14ac:dyDescent="0.35">
      <c r="B20" s="1" t="s">
        <v>53</v>
      </c>
      <c r="C20" s="21" t="s">
        <v>54</v>
      </c>
      <c r="D20" s="31" t="s">
        <v>55</v>
      </c>
      <c r="E20" s="32" t="s">
        <v>20</v>
      </c>
      <c r="F20" s="33">
        <v>950000</v>
      </c>
      <c r="G20" s="34">
        <v>7342.55</v>
      </c>
      <c r="H20" s="34">
        <v>1.03</v>
      </c>
      <c r="I20" s="35"/>
      <c r="J20" s="35"/>
      <c r="K20" s="36"/>
    </row>
    <row r="21" spans="2:11" x14ac:dyDescent="0.35">
      <c r="B21" s="1" t="s">
        <v>56</v>
      </c>
      <c r="C21" s="21" t="s">
        <v>57</v>
      </c>
      <c r="D21" s="31" t="s">
        <v>58</v>
      </c>
      <c r="E21" s="32" t="s">
        <v>24</v>
      </c>
      <c r="F21" s="33">
        <v>380000</v>
      </c>
      <c r="G21" s="34">
        <v>7143.24</v>
      </c>
      <c r="H21" s="34">
        <v>1</v>
      </c>
      <c r="I21" s="35"/>
      <c r="J21" s="35"/>
      <c r="K21" s="36"/>
    </row>
    <row r="22" spans="2:11" x14ac:dyDescent="0.35">
      <c r="B22" s="1" t="s">
        <v>59</v>
      </c>
      <c r="C22" s="21" t="s">
        <v>60</v>
      </c>
      <c r="D22" s="31" t="s">
        <v>61</v>
      </c>
      <c r="E22" s="32" t="s">
        <v>62</v>
      </c>
      <c r="F22" s="33">
        <v>63550</v>
      </c>
      <c r="G22" s="34">
        <v>7012.11</v>
      </c>
      <c r="H22" s="34">
        <v>0.98</v>
      </c>
      <c r="I22" s="35"/>
      <c r="J22" s="35"/>
      <c r="K22" s="36"/>
    </row>
    <row r="23" spans="2:11" x14ac:dyDescent="0.35">
      <c r="B23" s="1" t="s">
        <v>63</v>
      </c>
      <c r="C23" s="21" t="s">
        <v>64</v>
      </c>
      <c r="D23" s="31" t="s">
        <v>65</v>
      </c>
      <c r="E23" s="32" t="s">
        <v>66</v>
      </c>
      <c r="F23" s="33">
        <v>2500000</v>
      </c>
      <c r="G23" s="34">
        <v>6565.25</v>
      </c>
      <c r="H23" s="34">
        <v>0.92</v>
      </c>
      <c r="I23" s="35"/>
      <c r="J23" s="35"/>
      <c r="K23" s="36"/>
    </row>
    <row r="24" spans="2:11" x14ac:dyDescent="0.35">
      <c r="B24" s="1" t="s">
        <v>67</v>
      </c>
      <c r="C24" s="21" t="s">
        <v>68</v>
      </c>
      <c r="D24" s="31" t="s">
        <v>69</v>
      </c>
      <c r="E24" s="32" t="s">
        <v>70</v>
      </c>
      <c r="F24" s="33">
        <v>1012032</v>
      </c>
      <c r="G24" s="34">
        <v>6234.12</v>
      </c>
      <c r="H24" s="34">
        <v>0.87</v>
      </c>
      <c r="I24" s="35"/>
      <c r="J24" s="35"/>
      <c r="K24" s="36"/>
    </row>
    <row r="25" spans="2:11" x14ac:dyDescent="0.35">
      <c r="B25" s="1" t="s">
        <v>71</v>
      </c>
      <c r="C25" s="21" t="s">
        <v>72</v>
      </c>
      <c r="D25" s="31" t="s">
        <v>73</v>
      </c>
      <c r="E25" s="32" t="s">
        <v>74</v>
      </c>
      <c r="F25" s="33">
        <v>3500000</v>
      </c>
      <c r="G25" s="34">
        <v>6111</v>
      </c>
      <c r="H25" s="34">
        <v>0.86</v>
      </c>
      <c r="I25" s="35"/>
      <c r="J25" s="35"/>
      <c r="K25" s="36"/>
    </row>
    <row r="26" spans="2:11" x14ac:dyDescent="0.35">
      <c r="B26" s="1" t="s">
        <v>75</v>
      </c>
      <c r="C26" s="21" t="s">
        <v>76</v>
      </c>
      <c r="D26" s="31" t="s">
        <v>77</v>
      </c>
      <c r="E26" s="32" t="s">
        <v>78</v>
      </c>
      <c r="F26" s="33">
        <v>5630100</v>
      </c>
      <c r="G26" s="34">
        <v>6048.42</v>
      </c>
      <c r="H26" s="34">
        <v>0.85</v>
      </c>
      <c r="I26" s="35"/>
      <c r="J26" s="35"/>
      <c r="K26" s="36"/>
    </row>
    <row r="27" spans="2:11" x14ac:dyDescent="0.35">
      <c r="B27" s="1" t="s">
        <v>79</v>
      </c>
      <c r="C27" s="21" t="s">
        <v>80</v>
      </c>
      <c r="D27" s="31" t="s">
        <v>81</v>
      </c>
      <c r="E27" s="32" t="s">
        <v>82</v>
      </c>
      <c r="F27" s="33">
        <v>561076</v>
      </c>
      <c r="G27" s="34">
        <v>5939.83</v>
      </c>
      <c r="H27" s="34">
        <v>0.83</v>
      </c>
      <c r="I27" s="35"/>
      <c r="J27" s="35"/>
      <c r="K27" s="36"/>
    </row>
    <row r="28" spans="2:11" x14ac:dyDescent="0.35">
      <c r="B28" s="1" t="s">
        <v>83</v>
      </c>
      <c r="C28" s="21" t="s">
        <v>84</v>
      </c>
      <c r="D28" s="31" t="s">
        <v>85</v>
      </c>
      <c r="E28" s="32" t="s">
        <v>52</v>
      </c>
      <c r="F28" s="33">
        <v>1000000</v>
      </c>
      <c r="G28" s="34">
        <v>5896.5</v>
      </c>
      <c r="H28" s="34">
        <v>0.83</v>
      </c>
      <c r="I28" s="35"/>
      <c r="J28" s="35"/>
      <c r="K28" s="36"/>
    </row>
    <row r="29" spans="2:11" x14ac:dyDescent="0.35">
      <c r="B29" s="1" t="s">
        <v>86</v>
      </c>
      <c r="C29" s="21" t="s">
        <v>87</v>
      </c>
      <c r="D29" s="31" t="s">
        <v>88</v>
      </c>
      <c r="E29" s="32" t="s">
        <v>89</v>
      </c>
      <c r="F29" s="33">
        <v>711574</v>
      </c>
      <c r="G29" s="34">
        <v>5604.36</v>
      </c>
      <c r="H29" s="34">
        <v>0.78</v>
      </c>
      <c r="I29" s="35"/>
      <c r="J29" s="35"/>
      <c r="K29" s="36"/>
    </row>
    <row r="30" spans="2:11" x14ac:dyDescent="0.35">
      <c r="B30" s="1" t="s">
        <v>90</v>
      </c>
      <c r="C30" s="21" t="s">
        <v>91</v>
      </c>
      <c r="D30" s="31" t="s">
        <v>92</v>
      </c>
      <c r="E30" s="32" t="s">
        <v>93</v>
      </c>
      <c r="F30" s="33">
        <v>3300000</v>
      </c>
      <c r="G30" s="34">
        <v>5573.7</v>
      </c>
      <c r="H30" s="34">
        <v>0.78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20</v>
      </c>
      <c r="F31" s="33">
        <v>3500000</v>
      </c>
      <c r="G31" s="34">
        <v>5298.3</v>
      </c>
      <c r="H31" s="34">
        <v>0.74</v>
      </c>
      <c r="I31" s="35"/>
      <c r="J31" s="35"/>
      <c r="K31" s="36"/>
    </row>
    <row r="32" spans="2:11" x14ac:dyDescent="0.35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1374277</v>
      </c>
      <c r="G32" s="34">
        <v>5113.68</v>
      </c>
      <c r="H32" s="34">
        <v>0.72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2210682</v>
      </c>
      <c r="G33" s="34">
        <v>4572.13</v>
      </c>
      <c r="H33" s="34">
        <v>0.64</v>
      </c>
      <c r="I33" s="35"/>
      <c r="J33" s="35"/>
      <c r="K33" s="36"/>
    </row>
    <row r="34" spans="2:11" x14ac:dyDescent="0.35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639295</v>
      </c>
      <c r="G34" s="34">
        <v>4500</v>
      </c>
      <c r="H34" s="34">
        <v>0.63</v>
      </c>
      <c r="I34" s="35"/>
      <c r="J34" s="35"/>
      <c r="K34" s="36"/>
    </row>
    <row r="35" spans="2:11" x14ac:dyDescent="0.35">
      <c r="B35" s="1" t="s">
        <v>109</v>
      </c>
      <c r="C35" s="21" t="s">
        <v>110</v>
      </c>
      <c r="D35" s="31" t="s">
        <v>111</v>
      </c>
      <c r="E35" s="32" t="s">
        <v>82</v>
      </c>
      <c r="F35" s="33">
        <v>1693793</v>
      </c>
      <c r="G35" s="34">
        <v>4366.6000000000004</v>
      </c>
      <c r="H35" s="34">
        <v>0.61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108</v>
      </c>
      <c r="F36" s="33">
        <v>6000000</v>
      </c>
      <c r="G36" s="34">
        <v>4357.8</v>
      </c>
      <c r="H36" s="34">
        <v>0.61</v>
      </c>
      <c r="I36" s="35"/>
      <c r="J36" s="35"/>
      <c r="K36" s="36"/>
    </row>
    <row r="37" spans="2:11" x14ac:dyDescent="0.35">
      <c r="B37" s="1" t="s">
        <v>115</v>
      </c>
      <c r="C37" s="21" t="s">
        <v>116</v>
      </c>
      <c r="D37" s="31" t="s">
        <v>117</v>
      </c>
      <c r="E37" s="32" t="s">
        <v>100</v>
      </c>
      <c r="F37" s="33">
        <v>381643</v>
      </c>
      <c r="G37" s="34">
        <v>4349.97</v>
      </c>
      <c r="H37" s="34">
        <v>0.61</v>
      </c>
      <c r="I37" s="35"/>
      <c r="J37" s="35"/>
      <c r="K37" s="36"/>
    </row>
    <row r="38" spans="2:11" x14ac:dyDescent="0.35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3000000</v>
      </c>
      <c r="G38" s="34">
        <v>4289.3999999999996</v>
      </c>
      <c r="H38" s="34">
        <v>0.6</v>
      </c>
      <c r="I38" s="35"/>
      <c r="J38" s="35"/>
      <c r="K38" s="36"/>
    </row>
    <row r="39" spans="2:11" x14ac:dyDescent="0.35">
      <c r="B39" s="1" t="s">
        <v>122</v>
      </c>
      <c r="C39" s="21" t="s">
        <v>123</v>
      </c>
      <c r="D39" s="31" t="s">
        <v>124</v>
      </c>
      <c r="E39" s="32" t="s">
        <v>70</v>
      </c>
      <c r="F39" s="33">
        <v>500000</v>
      </c>
      <c r="G39" s="34">
        <v>4227.25</v>
      </c>
      <c r="H39" s="34">
        <v>0.59</v>
      </c>
      <c r="I39" s="35"/>
      <c r="J39" s="35"/>
      <c r="K39" s="36"/>
    </row>
    <row r="40" spans="2:11" x14ac:dyDescent="0.35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430000</v>
      </c>
      <c r="G40" s="34">
        <v>4072.96</v>
      </c>
      <c r="H40" s="34">
        <v>0.56999999999999995</v>
      </c>
      <c r="I40" s="35"/>
      <c r="J40" s="35"/>
      <c r="K40" s="36"/>
    </row>
    <row r="41" spans="2:11" x14ac:dyDescent="0.35">
      <c r="B41" s="1" t="s">
        <v>129</v>
      </c>
      <c r="C41" s="21" t="s">
        <v>130</v>
      </c>
      <c r="D41" s="31" t="s">
        <v>131</v>
      </c>
      <c r="E41" s="32" t="s">
        <v>20</v>
      </c>
      <c r="F41" s="33">
        <v>320000</v>
      </c>
      <c r="G41" s="34">
        <v>4008.96</v>
      </c>
      <c r="H41" s="34">
        <v>0.56000000000000005</v>
      </c>
      <c r="I41" s="35"/>
      <c r="J41" s="35"/>
      <c r="K41" s="36"/>
    </row>
    <row r="42" spans="2:11" x14ac:dyDescent="0.35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70000</v>
      </c>
      <c r="G42" s="34">
        <v>3590.76</v>
      </c>
      <c r="H42" s="34">
        <v>0.5</v>
      </c>
      <c r="I42" s="35"/>
      <c r="J42" s="35"/>
      <c r="K42" s="36"/>
    </row>
    <row r="43" spans="2:11" x14ac:dyDescent="0.35">
      <c r="B43" s="1" t="s">
        <v>136</v>
      </c>
      <c r="C43" s="21" t="s">
        <v>137</v>
      </c>
      <c r="D43" s="31" t="s">
        <v>138</v>
      </c>
      <c r="E43" s="32" t="s">
        <v>20</v>
      </c>
      <c r="F43" s="33">
        <v>1960755</v>
      </c>
      <c r="G43" s="34">
        <v>3406.22</v>
      </c>
      <c r="H43" s="34">
        <v>0.48</v>
      </c>
      <c r="I43" s="35"/>
      <c r="J43" s="35"/>
      <c r="K43" s="36"/>
    </row>
    <row r="44" spans="2:11" x14ac:dyDescent="0.35">
      <c r="B44" s="1" t="s">
        <v>139</v>
      </c>
      <c r="C44" s="21" t="s">
        <v>140</v>
      </c>
      <c r="D44" s="31" t="s">
        <v>141</v>
      </c>
      <c r="E44" s="32" t="s">
        <v>142</v>
      </c>
      <c r="F44" s="33">
        <v>738287</v>
      </c>
      <c r="G44" s="34">
        <v>3087.15</v>
      </c>
      <c r="H44" s="34">
        <v>0.43</v>
      </c>
      <c r="I44" s="35"/>
      <c r="J44" s="35"/>
      <c r="K44" s="36"/>
    </row>
    <row r="45" spans="2:11" x14ac:dyDescent="0.35">
      <c r="B45" s="1" t="s">
        <v>143</v>
      </c>
      <c r="C45" s="21" t="s">
        <v>144</v>
      </c>
      <c r="D45" s="31" t="s">
        <v>145</v>
      </c>
      <c r="E45" s="32" t="s">
        <v>146</v>
      </c>
      <c r="F45" s="33">
        <v>525000</v>
      </c>
      <c r="G45" s="34">
        <v>3066.26</v>
      </c>
      <c r="H45" s="34">
        <v>0.43</v>
      </c>
      <c r="I45" s="35"/>
      <c r="J45" s="35"/>
      <c r="K45" s="36"/>
    </row>
    <row r="46" spans="2:11" x14ac:dyDescent="0.35">
      <c r="B46" s="1" t="s">
        <v>147</v>
      </c>
      <c r="C46" s="21" t="s">
        <v>148</v>
      </c>
      <c r="D46" s="31" t="s">
        <v>149</v>
      </c>
      <c r="E46" s="32" t="s">
        <v>104</v>
      </c>
      <c r="F46" s="33">
        <v>1300000</v>
      </c>
      <c r="G46" s="34">
        <v>2835.04</v>
      </c>
      <c r="H46" s="34">
        <v>0.4</v>
      </c>
      <c r="I46" s="35"/>
      <c r="J46" s="35"/>
      <c r="K46" s="36"/>
    </row>
    <row r="47" spans="2:11" x14ac:dyDescent="0.35">
      <c r="B47" s="1" t="s">
        <v>150</v>
      </c>
      <c r="C47" s="21" t="s">
        <v>151</v>
      </c>
      <c r="D47" s="31" t="s">
        <v>152</v>
      </c>
      <c r="E47" s="32" t="s">
        <v>24</v>
      </c>
      <c r="F47" s="33">
        <v>165000</v>
      </c>
      <c r="G47" s="34">
        <v>2762.84</v>
      </c>
      <c r="H47" s="34">
        <v>0.39</v>
      </c>
      <c r="I47" s="35"/>
      <c r="J47" s="35"/>
      <c r="K47" s="36"/>
    </row>
    <row r="48" spans="2:11" x14ac:dyDescent="0.35">
      <c r="B48" s="1" t="s">
        <v>153</v>
      </c>
      <c r="C48" s="21" t="s">
        <v>154</v>
      </c>
      <c r="D48" s="31" t="s">
        <v>155</v>
      </c>
      <c r="E48" s="32" t="s">
        <v>142</v>
      </c>
      <c r="F48" s="33">
        <v>829665</v>
      </c>
      <c r="G48" s="34">
        <v>2706.37</v>
      </c>
      <c r="H48" s="34">
        <v>0.38</v>
      </c>
      <c r="I48" s="35"/>
      <c r="J48" s="35"/>
      <c r="K48" s="36"/>
    </row>
    <row r="49" spans="2:11" x14ac:dyDescent="0.35">
      <c r="B49" s="1" t="s">
        <v>156</v>
      </c>
      <c r="C49" s="21" t="s">
        <v>157</v>
      </c>
      <c r="D49" s="31" t="s">
        <v>158</v>
      </c>
      <c r="E49" s="32" t="s">
        <v>159</v>
      </c>
      <c r="F49" s="33">
        <v>160000</v>
      </c>
      <c r="G49" s="34">
        <v>2602.08</v>
      </c>
      <c r="H49" s="34">
        <v>0.36</v>
      </c>
      <c r="I49" s="35"/>
      <c r="J49" s="35"/>
      <c r="K49" s="36"/>
    </row>
    <row r="50" spans="2:11" x14ac:dyDescent="0.35">
      <c r="B50" s="1" t="s">
        <v>160</v>
      </c>
      <c r="C50" s="21" t="s">
        <v>161</v>
      </c>
      <c r="D50" s="31" t="s">
        <v>162</v>
      </c>
      <c r="E50" s="32" t="s">
        <v>163</v>
      </c>
      <c r="F50" s="33">
        <v>179171</v>
      </c>
      <c r="G50" s="34">
        <v>2551.4</v>
      </c>
      <c r="H50" s="34">
        <v>0.36</v>
      </c>
      <c r="I50" s="35"/>
      <c r="J50" s="35"/>
      <c r="K50" s="36"/>
    </row>
    <row r="51" spans="2:11" x14ac:dyDescent="0.35">
      <c r="B51" s="1" t="s">
        <v>164</v>
      </c>
      <c r="C51" s="21" t="s">
        <v>165</v>
      </c>
      <c r="D51" s="31" t="s">
        <v>166</v>
      </c>
      <c r="E51" s="32" t="s">
        <v>20</v>
      </c>
      <c r="F51" s="33">
        <v>3465000</v>
      </c>
      <c r="G51" s="34">
        <v>2304.23</v>
      </c>
      <c r="H51" s="34">
        <v>0.32</v>
      </c>
      <c r="I51" s="35"/>
      <c r="J51" s="35"/>
      <c r="K51" s="36"/>
    </row>
    <row r="52" spans="2:11" x14ac:dyDescent="0.35">
      <c r="B52" s="1" t="s">
        <v>167</v>
      </c>
      <c r="C52" s="21" t="s">
        <v>168</v>
      </c>
      <c r="D52" s="31" t="s">
        <v>169</v>
      </c>
      <c r="E52" s="32" t="s">
        <v>93</v>
      </c>
      <c r="F52" s="33">
        <v>70726</v>
      </c>
      <c r="G52" s="34">
        <v>2270.4499999999998</v>
      </c>
      <c r="H52" s="34">
        <v>0.32</v>
      </c>
      <c r="I52" s="35"/>
      <c r="J52" s="35"/>
      <c r="K52" s="36"/>
    </row>
    <row r="53" spans="2:11" x14ac:dyDescent="0.35">
      <c r="B53" s="1" t="s">
        <v>170</v>
      </c>
      <c r="C53" s="21" t="s">
        <v>171</v>
      </c>
      <c r="D53" s="31" t="s">
        <v>172</v>
      </c>
      <c r="E53" s="32" t="s">
        <v>146</v>
      </c>
      <c r="F53" s="33">
        <v>147079</v>
      </c>
      <c r="G53" s="34">
        <v>2242.59</v>
      </c>
      <c r="H53" s="34">
        <v>0.31</v>
      </c>
      <c r="I53" s="35"/>
      <c r="J53" s="35"/>
      <c r="K53" s="36"/>
    </row>
    <row r="54" spans="2:11" x14ac:dyDescent="0.35">
      <c r="B54" s="1" t="s">
        <v>173</v>
      </c>
      <c r="C54" s="21" t="s">
        <v>174</v>
      </c>
      <c r="D54" s="31" t="s">
        <v>175</v>
      </c>
      <c r="E54" s="32" t="s">
        <v>74</v>
      </c>
      <c r="F54" s="33">
        <v>56794</v>
      </c>
      <c r="G54" s="34">
        <v>2197.87</v>
      </c>
      <c r="H54" s="34">
        <v>0.31</v>
      </c>
      <c r="I54" s="35"/>
      <c r="J54" s="35"/>
      <c r="K54" s="36"/>
    </row>
    <row r="55" spans="2:11" x14ac:dyDescent="0.35">
      <c r="B55" s="1" t="s">
        <v>176</v>
      </c>
      <c r="C55" s="21" t="s">
        <v>177</v>
      </c>
      <c r="D55" s="31" t="s">
        <v>178</v>
      </c>
      <c r="E55" s="32" t="s">
        <v>146</v>
      </c>
      <c r="F55" s="33">
        <v>416589</v>
      </c>
      <c r="G55" s="34">
        <v>1510.34</v>
      </c>
      <c r="H55" s="34">
        <v>0.21</v>
      </c>
      <c r="I55" s="35"/>
      <c r="J55" s="35"/>
      <c r="K55" s="36"/>
    </row>
    <row r="56" spans="2:11" x14ac:dyDescent="0.35">
      <c r="B56" s="1" t="s">
        <v>179</v>
      </c>
      <c r="C56" s="21" t="s">
        <v>180</v>
      </c>
      <c r="D56" s="31" t="s">
        <v>181</v>
      </c>
      <c r="E56" s="32" t="s">
        <v>182</v>
      </c>
      <c r="F56" s="33">
        <v>500000</v>
      </c>
      <c r="G56" s="34">
        <v>1202.75</v>
      </c>
      <c r="H56" s="34">
        <v>0.17</v>
      </c>
      <c r="I56" s="35"/>
      <c r="J56" s="35"/>
      <c r="K56" s="36"/>
    </row>
    <row r="57" spans="2:11" x14ac:dyDescent="0.35">
      <c r="B57" s="1" t="s">
        <v>183</v>
      </c>
      <c r="C57" s="21" t="s">
        <v>184</v>
      </c>
      <c r="D57" s="31" t="s">
        <v>185</v>
      </c>
      <c r="E57" s="32" t="s">
        <v>100</v>
      </c>
      <c r="F57" s="33">
        <v>681540</v>
      </c>
      <c r="G57" s="34">
        <v>1098.98</v>
      </c>
      <c r="H57" s="34">
        <v>0.15</v>
      </c>
      <c r="I57" s="35"/>
      <c r="J57" s="35"/>
      <c r="K57" s="36"/>
    </row>
    <row r="58" spans="2:11" x14ac:dyDescent="0.35">
      <c r="B58" s="1" t="s">
        <v>186</v>
      </c>
      <c r="C58" s="21" t="s">
        <v>187</v>
      </c>
      <c r="D58" s="31" t="s">
        <v>188</v>
      </c>
      <c r="E58" s="32" t="s">
        <v>189</v>
      </c>
      <c r="F58" s="33">
        <v>75000</v>
      </c>
      <c r="G58" s="34">
        <v>817.88</v>
      </c>
      <c r="H58" s="34">
        <v>0.11</v>
      </c>
      <c r="I58" s="35"/>
      <c r="J58" s="35"/>
      <c r="K58" s="36"/>
    </row>
    <row r="59" spans="2:11" x14ac:dyDescent="0.35">
      <c r="B59" s="1" t="s">
        <v>190</v>
      </c>
      <c r="C59" s="21" t="s">
        <v>191</v>
      </c>
      <c r="D59" s="31" t="s">
        <v>192</v>
      </c>
      <c r="E59" s="32" t="s">
        <v>20</v>
      </c>
      <c r="F59" s="33">
        <v>59000</v>
      </c>
      <c r="G59" s="34">
        <v>327.89</v>
      </c>
      <c r="H59" s="34">
        <v>0.05</v>
      </c>
      <c r="I59" s="35"/>
      <c r="J59" s="35"/>
      <c r="K59" s="36"/>
    </row>
    <row r="60" spans="2:11" x14ac:dyDescent="0.35">
      <c r="B60" s="1" t="s">
        <v>193</v>
      </c>
      <c r="C60" s="21" t="s">
        <v>194</v>
      </c>
      <c r="D60" s="31" t="s">
        <v>195</v>
      </c>
      <c r="E60" s="32" t="s">
        <v>104</v>
      </c>
      <c r="F60" s="33">
        <v>22541</v>
      </c>
      <c r="G60" s="34">
        <v>79.010000000000005</v>
      </c>
      <c r="H60" s="34">
        <v>0.01</v>
      </c>
      <c r="I60" s="35"/>
      <c r="J60" s="35"/>
      <c r="K60" s="36"/>
    </row>
    <row r="61" spans="2:11" x14ac:dyDescent="0.35">
      <c r="C61" s="30" t="s">
        <v>196</v>
      </c>
      <c r="D61" s="31"/>
      <c r="E61" s="32"/>
      <c r="F61" s="33"/>
      <c r="G61" s="38">
        <f>SUM(XDO_?FINAL_MV?163?)</f>
        <v>256048.63999999998</v>
      </c>
      <c r="H61" s="38">
        <f>SUM(XDO_?FINAL_PER_NET?163?)</f>
        <v>35.839999999999996</v>
      </c>
      <c r="I61" s="35"/>
      <c r="J61" s="35"/>
      <c r="K61" s="36"/>
    </row>
    <row r="62" spans="2:11" x14ac:dyDescent="0.35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5">
      <c r="C63" s="30" t="s">
        <v>197</v>
      </c>
      <c r="D63" s="31"/>
      <c r="E63" s="32"/>
      <c r="F63" s="33"/>
      <c r="G63" s="34" t="s">
        <v>198</v>
      </c>
      <c r="H63" s="34" t="s">
        <v>198</v>
      </c>
      <c r="I63" s="35"/>
      <c r="J63" s="35"/>
      <c r="K63" s="36"/>
    </row>
    <row r="64" spans="2:11" x14ac:dyDescent="0.35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5">
      <c r="C65" s="30" t="s">
        <v>199</v>
      </c>
      <c r="D65" s="31"/>
      <c r="E65" s="32"/>
      <c r="F65" s="33"/>
      <c r="G65" s="34" t="s">
        <v>198</v>
      </c>
      <c r="H65" s="34" t="s">
        <v>198</v>
      </c>
      <c r="I65" s="35"/>
      <c r="J65" s="35"/>
      <c r="K65" s="36"/>
    </row>
    <row r="66" spans="1:11" x14ac:dyDescent="0.35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5">
      <c r="C67" s="37" t="s">
        <v>200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5">
      <c r="B68" s="1" t="s">
        <v>201</v>
      </c>
      <c r="C68" s="21" t="s">
        <v>202</v>
      </c>
      <c r="D68" s="31" t="s">
        <v>203</v>
      </c>
      <c r="E68" s="32" t="s">
        <v>204</v>
      </c>
      <c r="F68" s="33">
        <v>2600000</v>
      </c>
      <c r="G68" s="34">
        <v>3172</v>
      </c>
      <c r="H68" s="34">
        <v>0.44</v>
      </c>
      <c r="I68" s="35"/>
      <c r="J68" s="35"/>
      <c r="K68" s="36"/>
    </row>
    <row r="69" spans="1:11" x14ac:dyDescent="0.35">
      <c r="C69" s="30" t="s">
        <v>196</v>
      </c>
      <c r="D69" s="31"/>
      <c r="E69" s="32"/>
      <c r="F69" s="33"/>
      <c r="G69" s="38">
        <v>3172</v>
      </c>
      <c r="H69" s="38">
        <v>0.44</v>
      </c>
      <c r="I69" s="35"/>
      <c r="J69" s="35"/>
      <c r="K69" s="36"/>
    </row>
    <row r="70" spans="1:11" x14ac:dyDescent="0.35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5">
      <c r="C71" s="37" t="s">
        <v>205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35">
      <c r="B72" s="1" t="s">
        <v>206</v>
      </c>
      <c r="C72" s="21" t="s">
        <v>207</v>
      </c>
      <c r="D72" s="31" t="s">
        <v>208</v>
      </c>
      <c r="E72" s="32" t="s">
        <v>142</v>
      </c>
      <c r="F72" s="33">
        <v>7664234</v>
      </c>
      <c r="G72" s="34">
        <v>22849.38</v>
      </c>
      <c r="H72" s="34">
        <v>3.2</v>
      </c>
      <c r="I72" s="35"/>
      <c r="J72" s="35"/>
      <c r="K72" s="36"/>
    </row>
    <row r="73" spans="1:11" x14ac:dyDescent="0.35">
      <c r="B73" s="1" t="s">
        <v>209</v>
      </c>
      <c r="C73" s="21" t="s">
        <v>210</v>
      </c>
      <c r="D73" s="31" t="s">
        <v>211</v>
      </c>
      <c r="E73" s="32" t="s">
        <v>142</v>
      </c>
      <c r="F73" s="33">
        <v>4710265</v>
      </c>
      <c r="G73" s="34">
        <v>17434.57</v>
      </c>
      <c r="H73" s="34">
        <v>2.44</v>
      </c>
      <c r="I73" s="35"/>
      <c r="J73" s="35"/>
      <c r="K73" s="36"/>
    </row>
    <row r="74" spans="1:11" x14ac:dyDescent="0.35">
      <c r="C74" s="30" t="s">
        <v>196</v>
      </c>
      <c r="D74" s="31"/>
      <c r="E74" s="32"/>
      <c r="F74" s="33"/>
      <c r="G74" s="38">
        <v>40283.949999999997</v>
      </c>
      <c r="H74" s="38">
        <v>5.64</v>
      </c>
      <c r="I74" s="35"/>
      <c r="J74" s="35"/>
      <c r="K74" s="36"/>
    </row>
    <row r="75" spans="1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5">
      <c r="C76" s="37" t="s">
        <v>212</v>
      </c>
      <c r="D76" s="31"/>
      <c r="E76" s="32"/>
      <c r="F76" s="33"/>
      <c r="G76" s="34"/>
      <c r="H76" s="34"/>
      <c r="I76" s="35"/>
      <c r="J76" s="35"/>
      <c r="K76" s="36"/>
    </row>
    <row r="77" spans="1:11" x14ac:dyDescent="0.35">
      <c r="B77" s="1" t="s">
        <v>213</v>
      </c>
      <c r="C77" s="21" t="s">
        <v>214</v>
      </c>
      <c r="D77" s="31" t="s">
        <v>215</v>
      </c>
      <c r="E77" s="32" t="s">
        <v>216</v>
      </c>
      <c r="F77" s="33">
        <v>6000</v>
      </c>
      <c r="G77" s="34">
        <v>6379.66</v>
      </c>
      <c r="H77" s="34">
        <v>0.89</v>
      </c>
      <c r="I77" s="35">
        <v>8.1476500000000005</v>
      </c>
      <c r="J77" s="35"/>
      <c r="K77" s="36" t="s">
        <v>217</v>
      </c>
    </row>
    <row r="78" spans="1:11" x14ac:dyDescent="0.35">
      <c r="C78" s="30" t="s">
        <v>196</v>
      </c>
      <c r="D78" s="31"/>
      <c r="E78" s="32"/>
      <c r="F78" s="33"/>
      <c r="G78" s="38">
        <v>6379.66</v>
      </c>
      <c r="H78" s="38">
        <v>0.89</v>
      </c>
      <c r="I78" s="35"/>
      <c r="J78" s="35"/>
      <c r="K78" s="36"/>
    </row>
    <row r="79" spans="1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35">
      <c r="A80" s="28"/>
      <c r="B80" s="29"/>
      <c r="C80" s="30" t="s">
        <v>218</v>
      </c>
      <c r="D80" s="31"/>
      <c r="E80" s="32"/>
      <c r="F80" s="33"/>
      <c r="G80" s="34"/>
      <c r="H80" s="34"/>
      <c r="I80" s="35"/>
      <c r="J80" s="35"/>
      <c r="K80" s="36"/>
    </row>
    <row r="81" spans="2:11" x14ac:dyDescent="0.35">
      <c r="C81" s="37" t="s">
        <v>219</v>
      </c>
      <c r="D81" s="31"/>
      <c r="E81" s="32"/>
      <c r="F81" s="33"/>
      <c r="G81" s="34"/>
      <c r="H81" s="34"/>
      <c r="I81" s="35"/>
      <c r="J81" s="35"/>
      <c r="K81" s="36"/>
    </row>
    <row r="82" spans="2:11" x14ac:dyDescent="0.35">
      <c r="B82" s="1" t="s">
        <v>220</v>
      </c>
      <c r="C82" s="21" t="s">
        <v>221</v>
      </c>
      <c r="D82" s="31" t="s">
        <v>222</v>
      </c>
      <c r="E82" s="32" t="s">
        <v>223</v>
      </c>
      <c r="F82" s="33">
        <v>20000</v>
      </c>
      <c r="G82" s="34">
        <v>20329.72</v>
      </c>
      <c r="H82" s="34">
        <v>2.85</v>
      </c>
      <c r="I82" s="35">
        <v>8.3000000000000007</v>
      </c>
      <c r="J82" s="35"/>
      <c r="K82" s="36" t="s">
        <v>217</v>
      </c>
    </row>
    <row r="83" spans="2:11" x14ac:dyDescent="0.35">
      <c r="B83" s="1" t="s">
        <v>224</v>
      </c>
      <c r="C83" s="21" t="s">
        <v>225</v>
      </c>
      <c r="D83" s="31" t="s">
        <v>226</v>
      </c>
      <c r="E83" s="32" t="s">
        <v>227</v>
      </c>
      <c r="F83" s="33">
        <v>20000</v>
      </c>
      <c r="G83" s="34">
        <v>20065.580000000002</v>
      </c>
      <c r="H83" s="34">
        <v>2.81</v>
      </c>
      <c r="I83" s="35">
        <v>7.79</v>
      </c>
      <c r="J83" s="35"/>
      <c r="K83" s="36" t="s">
        <v>217</v>
      </c>
    </row>
    <row r="84" spans="2:11" x14ac:dyDescent="0.35">
      <c r="B84" s="1" t="s">
        <v>228</v>
      </c>
      <c r="C84" s="21" t="s">
        <v>229</v>
      </c>
      <c r="D84" s="31" t="s">
        <v>230</v>
      </c>
      <c r="E84" s="32" t="s">
        <v>231</v>
      </c>
      <c r="F84" s="33">
        <v>20000</v>
      </c>
      <c r="G84" s="34">
        <v>20041.12</v>
      </c>
      <c r="H84" s="34">
        <v>2.81</v>
      </c>
      <c r="I84" s="35">
        <v>8.4749999999999996</v>
      </c>
      <c r="J84" s="35"/>
      <c r="K84" s="36" t="s">
        <v>217</v>
      </c>
    </row>
    <row r="85" spans="2:11" x14ac:dyDescent="0.35">
      <c r="B85" s="1" t="s">
        <v>232</v>
      </c>
      <c r="C85" s="21" t="s">
        <v>233</v>
      </c>
      <c r="D85" s="31" t="s">
        <v>234</v>
      </c>
      <c r="E85" s="32" t="s">
        <v>235</v>
      </c>
      <c r="F85" s="33">
        <v>16000</v>
      </c>
      <c r="G85" s="34">
        <v>16032.05</v>
      </c>
      <c r="H85" s="34">
        <v>2.25</v>
      </c>
      <c r="I85" s="35">
        <v>8.375</v>
      </c>
      <c r="J85" s="35"/>
      <c r="K85" s="36" t="s">
        <v>217</v>
      </c>
    </row>
    <row r="86" spans="2:11" x14ac:dyDescent="0.35">
      <c r="B86" s="1" t="s">
        <v>236</v>
      </c>
      <c r="C86" s="21" t="s">
        <v>237</v>
      </c>
      <c r="D86" s="31" t="s">
        <v>238</v>
      </c>
      <c r="E86" s="32" t="s">
        <v>235</v>
      </c>
      <c r="F86" s="33">
        <v>15000</v>
      </c>
      <c r="G86" s="34">
        <v>14983.1</v>
      </c>
      <c r="H86" s="34">
        <v>2.1</v>
      </c>
      <c r="I86" s="35">
        <v>9.6999999999999993</v>
      </c>
      <c r="J86" s="35"/>
      <c r="K86" s="36" t="s">
        <v>217</v>
      </c>
    </row>
    <row r="87" spans="2:11" x14ac:dyDescent="0.35">
      <c r="B87" s="1" t="s">
        <v>239</v>
      </c>
      <c r="C87" s="21" t="s">
        <v>240</v>
      </c>
      <c r="D87" s="31" t="s">
        <v>241</v>
      </c>
      <c r="E87" s="32" t="s">
        <v>242</v>
      </c>
      <c r="F87" s="33">
        <v>12500</v>
      </c>
      <c r="G87" s="34">
        <v>12432.88</v>
      </c>
      <c r="H87" s="34">
        <v>1.74</v>
      </c>
      <c r="I87" s="35">
        <v>9.75</v>
      </c>
      <c r="J87" s="35"/>
      <c r="K87" s="36" t="s">
        <v>217</v>
      </c>
    </row>
    <row r="88" spans="2:11" x14ac:dyDescent="0.35">
      <c r="B88" s="1" t="s">
        <v>243</v>
      </c>
      <c r="C88" s="21" t="s">
        <v>244</v>
      </c>
      <c r="D88" s="31" t="s">
        <v>245</v>
      </c>
      <c r="E88" s="32" t="s">
        <v>246</v>
      </c>
      <c r="F88" s="33">
        <v>100</v>
      </c>
      <c r="G88" s="34">
        <v>10042.81</v>
      </c>
      <c r="H88" s="34">
        <v>1.41</v>
      </c>
      <c r="I88" s="35">
        <v>7.3573000000000004</v>
      </c>
      <c r="J88" s="35">
        <v>7.3417164476999996</v>
      </c>
      <c r="K88" s="36" t="s">
        <v>217</v>
      </c>
    </row>
    <row r="89" spans="2:11" x14ac:dyDescent="0.35">
      <c r="B89" s="1" t="s">
        <v>247</v>
      </c>
      <c r="C89" s="21" t="s">
        <v>248</v>
      </c>
      <c r="D89" s="31" t="s">
        <v>249</v>
      </c>
      <c r="E89" s="32" t="s">
        <v>223</v>
      </c>
      <c r="F89" s="33">
        <v>10000</v>
      </c>
      <c r="G89" s="34">
        <v>9969.69</v>
      </c>
      <c r="H89" s="34">
        <v>1.4</v>
      </c>
      <c r="I89" s="35">
        <v>8.2187000000000001</v>
      </c>
      <c r="J89" s="35"/>
      <c r="K89" s="36" t="s">
        <v>217</v>
      </c>
    </row>
    <row r="90" spans="2:11" x14ac:dyDescent="0.35">
      <c r="B90" s="1" t="s">
        <v>250</v>
      </c>
      <c r="C90" s="21" t="s">
        <v>251</v>
      </c>
      <c r="D90" s="31" t="s">
        <v>252</v>
      </c>
      <c r="E90" s="32" t="s">
        <v>246</v>
      </c>
      <c r="F90" s="33">
        <v>9000</v>
      </c>
      <c r="G90" s="34">
        <v>9153.14</v>
      </c>
      <c r="H90" s="34">
        <v>1.28</v>
      </c>
      <c r="I90" s="35">
        <v>7.62</v>
      </c>
      <c r="J90" s="35"/>
      <c r="K90" s="36" t="s">
        <v>217</v>
      </c>
    </row>
    <row r="91" spans="2:11" x14ac:dyDescent="0.35">
      <c r="B91" s="1" t="s">
        <v>253</v>
      </c>
      <c r="C91" s="21" t="s">
        <v>254</v>
      </c>
      <c r="D91" s="31" t="s">
        <v>255</v>
      </c>
      <c r="E91" s="32" t="s">
        <v>256</v>
      </c>
      <c r="F91" s="33">
        <v>9000</v>
      </c>
      <c r="G91" s="34">
        <v>8990.15</v>
      </c>
      <c r="H91" s="34">
        <v>1.26</v>
      </c>
      <c r="I91" s="35">
        <v>9.8207000000000004</v>
      </c>
      <c r="J91" s="35"/>
      <c r="K91" s="36" t="s">
        <v>217</v>
      </c>
    </row>
    <row r="92" spans="2:11" x14ac:dyDescent="0.35">
      <c r="B92" s="1" t="s">
        <v>257</v>
      </c>
      <c r="C92" s="21" t="s">
        <v>258</v>
      </c>
      <c r="D92" s="31" t="s">
        <v>259</v>
      </c>
      <c r="E92" s="32" t="s">
        <v>260</v>
      </c>
      <c r="F92" s="33">
        <v>850</v>
      </c>
      <c r="G92" s="34">
        <v>8485.75</v>
      </c>
      <c r="H92" s="34">
        <v>1.19</v>
      </c>
      <c r="I92" s="35">
        <v>7.2148000000000003</v>
      </c>
      <c r="J92" s="35">
        <v>8.27294477415</v>
      </c>
      <c r="K92" s="36" t="s">
        <v>217</v>
      </c>
    </row>
    <row r="93" spans="2:11" x14ac:dyDescent="0.35">
      <c r="B93" s="1" t="s">
        <v>261</v>
      </c>
      <c r="C93" s="21" t="s">
        <v>214</v>
      </c>
      <c r="D93" s="31" t="s">
        <v>262</v>
      </c>
      <c r="E93" s="32" t="s">
        <v>227</v>
      </c>
      <c r="F93" s="33">
        <v>7500</v>
      </c>
      <c r="G93" s="34">
        <v>7544.79</v>
      </c>
      <c r="H93" s="34">
        <v>1.06</v>
      </c>
      <c r="I93" s="35">
        <v>8.2475000000000005</v>
      </c>
      <c r="J93" s="35"/>
      <c r="K93" s="36" t="s">
        <v>217</v>
      </c>
    </row>
    <row r="94" spans="2:11" x14ac:dyDescent="0.35">
      <c r="B94" s="1" t="s">
        <v>263</v>
      </c>
      <c r="C94" s="21" t="s">
        <v>264</v>
      </c>
      <c r="D94" s="31" t="s">
        <v>265</v>
      </c>
      <c r="E94" s="32" t="s">
        <v>266</v>
      </c>
      <c r="F94" s="33">
        <v>7500</v>
      </c>
      <c r="G94" s="34">
        <v>7543.82</v>
      </c>
      <c r="H94" s="34">
        <v>1.06</v>
      </c>
      <c r="I94" s="35">
        <v>8.1</v>
      </c>
      <c r="J94" s="35"/>
      <c r="K94" s="36" t="s">
        <v>217</v>
      </c>
    </row>
    <row r="95" spans="2:11" x14ac:dyDescent="0.35">
      <c r="B95" s="1" t="s">
        <v>267</v>
      </c>
      <c r="C95" s="21" t="s">
        <v>268</v>
      </c>
      <c r="D95" s="31" t="s">
        <v>269</v>
      </c>
      <c r="E95" s="32" t="s">
        <v>223</v>
      </c>
      <c r="F95" s="33">
        <v>7500</v>
      </c>
      <c r="G95" s="34">
        <v>7512.32</v>
      </c>
      <c r="H95" s="34">
        <v>1.05</v>
      </c>
      <c r="I95" s="35">
        <v>8.66</v>
      </c>
      <c r="J95" s="35"/>
      <c r="K95" s="36"/>
    </row>
    <row r="96" spans="2:11" x14ac:dyDescent="0.35">
      <c r="B96" s="1" t="s">
        <v>270</v>
      </c>
      <c r="C96" s="21" t="s">
        <v>271</v>
      </c>
      <c r="D96" s="31" t="s">
        <v>272</v>
      </c>
      <c r="E96" s="32" t="s">
        <v>273</v>
      </c>
      <c r="F96" s="33">
        <v>5000</v>
      </c>
      <c r="G96" s="34">
        <v>5037.7299999999996</v>
      </c>
      <c r="H96" s="34">
        <v>0.71</v>
      </c>
      <c r="I96" s="35">
        <v>9.1524999999999999</v>
      </c>
      <c r="J96" s="35"/>
      <c r="K96" s="36" t="s">
        <v>217</v>
      </c>
    </row>
    <row r="97" spans="2:11" x14ac:dyDescent="0.35">
      <c r="B97" s="1" t="s">
        <v>274</v>
      </c>
      <c r="C97" s="21" t="s">
        <v>275</v>
      </c>
      <c r="D97" s="31" t="s">
        <v>276</v>
      </c>
      <c r="E97" s="32" t="s">
        <v>246</v>
      </c>
      <c r="F97" s="33">
        <v>5000</v>
      </c>
      <c r="G97" s="34">
        <v>5037.18</v>
      </c>
      <c r="H97" s="34">
        <v>0.71</v>
      </c>
      <c r="I97" s="35">
        <v>8.0236000000000001</v>
      </c>
      <c r="J97" s="35"/>
      <c r="K97" s="36" t="s">
        <v>217</v>
      </c>
    </row>
    <row r="98" spans="2:11" x14ac:dyDescent="0.35">
      <c r="B98" s="1" t="s">
        <v>277</v>
      </c>
      <c r="C98" s="21" t="s">
        <v>278</v>
      </c>
      <c r="D98" s="31" t="s">
        <v>279</v>
      </c>
      <c r="E98" s="32" t="s">
        <v>280</v>
      </c>
      <c r="F98" s="33">
        <v>5000</v>
      </c>
      <c r="G98" s="34">
        <v>5022.53</v>
      </c>
      <c r="H98" s="34">
        <v>0.7</v>
      </c>
      <c r="I98" s="35">
        <v>10.0146</v>
      </c>
      <c r="J98" s="35"/>
      <c r="K98" s="36" t="s">
        <v>217</v>
      </c>
    </row>
    <row r="99" spans="2:11" x14ac:dyDescent="0.35">
      <c r="B99" s="1" t="s">
        <v>281</v>
      </c>
      <c r="C99" s="21" t="s">
        <v>282</v>
      </c>
      <c r="D99" s="31" t="s">
        <v>283</v>
      </c>
      <c r="E99" s="32" t="s">
        <v>246</v>
      </c>
      <c r="F99" s="33">
        <v>5000</v>
      </c>
      <c r="G99" s="34">
        <v>5021.4799999999996</v>
      </c>
      <c r="H99" s="34">
        <v>0.7</v>
      </c>
      <c r="I99" s="35">
        <v>8.0970999999999993</v>
      </c>
      <c r="J99" s="35"/>
      <c r="K99" s="36" t="s">
        <v>217</v>
      </c>
    </row>
    <row r="100" spans="2:11" x14ac:dyDescent="0.35">
      <c r="B100" s="1" t="s">
        <v>284</v>
      </c>
      <c r="C100" s="21" t="s">
        <v>285</v>
      </c>
      <c r="D100" s="31" t="s">
        <v>286</v>
      </c>
      <c r="E100" s="32" t="s">
        <v>231</v>
      </c>
      <c r="F100" s="33">
        <v>4000</v>
      </c>
      <c r="G100" s="34">
        <v>4002.14</v>
      </c>
      <c r="H100" s="34">
        <v>0.56000000000000005</v>
      </c>
      <c r="I100" s="35">
        <v>8.92</v>
      </c>
      <c r="J100" s="35"/>
      <c r="K100" s="36" t="s">
        <v>217</v>
      </c>
    </row>
    <row r="101" spans="2:11" x14ac:dyDescent="0.35">
      <c r="B101" s="1" t="s">
        <v>287</v>
      </c>
      <c r="C101" s="21" t="s">
        <v>288</v>
      </c>
      <c r="D101" s="31" t="s">
        <v>289</v>
      </c>
      <c r="E101" s="32" t="s">
        <v>280</v>
      </c>
      <c r="F101" s="33">
        <v>3000</v>
      </c>
      <c r="G101" s="34">
        <v>3007.51</v>
      </c>
      <c r="H101" s="34">
        <v>0.42</v>
      </c>
      <c r="I101" s="35">
        <v>9.8989999999999991</v>
      </c>
      <c r="J101" s="35"/>
      <c r="K101" s="36" t="s">
        <v>217</v>
      </c>
    </row>
    <row r="102" spans="2:11" x14ac:dyDescent="0.35">
      <c r="B102" s="1" t="s">
        <v>290</v>
      </c>
      <c r="C102" s="21" t="s">
        <v>291</v>
      </c>
      <c r="D102" s="31" t="s">
        <v>292</v>
      </c>
      <c r="E102" s="32" t="s">
        <v>246</v>
      </c>
      <c r="F102" s="33">
        <v>2500</v>
      </c>
      <c r="G102" s="34">
        <v>2574.66</v>
      </c>
      <c r="H102" s="34">
        <v>0.36</v>
      </c>
      <c r="I102" s="35">
        <v>7.76</v>
      </c>
      <c r="J102" s="35"/>
      <c r="K102" s="36" t="s">
        <v>217</v>
      </c>
    </row>
    <row r="103" spans="2:11" x14ac:dyDescent="0.35">
      <c r="B103" s="1" t="s">
        <v>293</v>
      </c>
      <c r="C103" s="21" t="s">
        <v>275</v>
      </c>
      <c r="D103" s="31" t="s">
        <v>294</v>
      </c>
      <c r="E103" s="32" t="s">
        <v>246</v>
      </c>
      <c r="F103" s="33">
        <v>2500</v>
      </c>
      <c r="G103" s="34">
        <v>2537.87</v>
      </c>
      <c r="H103" s="34">
        <v>0.36</v>
      </c>
      <c r="I103" s="35">
        <v>7.9535999999999998</v>
      </c>
      <c r="J103" s="35"/>
      <c r="K103" s="36" t="s">
        <v>217</v>
      </c>
    </row>
    <row r="104" spans="2:11" x14ac:dyDescent="0.35">
      <c r="B104" s="1" t="s">
        <v>295</v>
      </c>
      <c r="C104" s="21" t="s">
        <v>237</v>
      </c>
      <c r="D104" s="31" t="s">
        <v>296</v>
      </c>
      <c r="E104" s="32" t="s">
        <v>235</v>
      </c>
      <c r="F104" s="33">
        <v>2500</v>
      </c>
      <c r="G104" s="34">
        <v>2501.69</v>
      </c>
      <c r="H104" s="34">
        <v>0.35</v>
      </c>
      <c r="I104" s="35">
        <v>9.6999999999999993</v>
      </c>
      <c r="J104" s="35"/>
      <c r="K104" s="36" t="s">
        <v>217</v>
      </c>
    </row>
    <row r="105" spans="2:11" x14ac:dyDescent="0.35">
      <c r="B105" s="1" t="s">
        <v>297</v>
      </c>
      <c r="C105" s="21" t="s">
        <v>298</v>
      </c>
      <c r="D105" s="31" t="s">
        <v>299</v>
      </c>
      <c r="E105" s="32" t="s">
        <v>300</v>
      </c>
      <c r="F105" s="33">
        <v>250</v>
      </c>
      <c r="G105" s="34">
        <v>2489.16</v>
      </c>
      <c r="H105" s="34">
        <v>0.35</v>
      </c>
      <c r="I105" s="35">
        <v>7.8250000000000002</v>
      </c>
      <c r="J105" s="35"/>
      <c r="K105" s="36" t="s">
        <v>217</v>
      </c>
    </row>
    <row r="106" spans="2:11" x14ac:dyDescent="0.35">
      <c r="B106" s="1" t="s">
        <v>301</v>
      </c>
      <c r="C106" s="21" t="s">
        <v>285</v>
      </c>
      <c r="D106" s="31" t="s">
        <v>302</v>
      </c>
      <c r="E106" s="32" t="s">
        <v>273</v>
      </c>
      <c r="F106" s="33">
        <v>2400</v>
      </c>
      <c r="G106" s="34">
        <v>2402.62</v>
      </c>
      <c r="H106" s="34">
        <v>0.34</v>
      </c>
      <c r="I106" s="35">
        <v>9.2970000000000006</v>
      </c>
      <c r="J106" s="35"/>
      <c r="K106" s="36" t="s">
        <v>217</v>
      </c>
    </row>
    <row r="107" spans="2:11" x14ac:dyDescent="0.35">
      <c r="B107" s="1" t="s">
        <v>303</v>
      </c>
      <c r="C107" s="21" t="s">
        <v>304</v>
      </c>
      <c r="D107" s="31" t="s">
        <v>305</v>
      </c>
      <c r="E107" s="32" t="s">
        <v>266</v>
      </c>
      <c r="F107" s="33">
        <v>2300</v>
      </c>
      <c r="G107" s="34">
        <v>2301.58</v>
      </c>
      <c r="H107" s="34">
        <v>0.32</v>
      </c>
      <c r="I107" s="35">
        <v>8.3795000000000002</v>
      </c>
      <c r="J107" s="35"/>
      <c r="K107" s="36" t="s">
        <v>217</v>
      </c>
    </row>
    <row r="108" spans="2:11" x14ac:dyDescent="0.35">
      <c r="B108" s="1" t="s">
        <v>306</v>
      </c>
      <c r="C108" s="21" t="s">
        <v>221</v>
      </c>
      <c r="D108" s="31" t="s">
        <v>307</v>
      </c>
      <c r="E108" s="32" t="s">
        <v>223</v>
      </c>
      <c r="F108" s="33">
        <v>150</v>
      </c>
      <c r="G108" s="34">
        <v>1502.98</v>
      </c>
      <c r="H108" s="34">
        <v>0.21</v>
      </c>
      <c r="I108" s="35">
        <v>8.39</v>
      </c>
      <c r="J108" s="35"/>
      <c r="K108" s="36" t="s">
        <v>217</v>
      </c>
    </row>
    <row r="109" spans="2:11" x14ac:dyDescent="0.35">
      <c r="B109" s="1" t="s">
        <v>308</v>
      </c>
      <c r="C109" s="21" t="s">
        <v>268</v>
      </c>
      <c r="D109" s="31" t="s">
        <v>309</v>
      </c>
      <c r="E109" s="32" t="s">
        <v>223</v>
      </c>
      <c r="F109" s="33">
        <v>1500</v>
      </c>
      <c r="G109" s="34">
        <v>1499.92</v>
      </c>
      <c r="H109" s="34">
        <v>0.21</v>
      </c>
      <c r="I109" s="35">
        <v>8.5</v>
      </c>
      <c r="J109" s="35"/>
      <c r="K109" s="36" t="s">
        <v>217</v>
      </c>
    </row>
    <row r="110" spans="2:11" x14ac:dyDescent="0.35">
      <c r="C110" s="30" t="s">
        <v>196</v>
      </c>
      <c r="D110" s="31"/>
      <c r="E110" s="32"/>
      <c r="F110" s="33"/>
      <c r="G110" s="38">
        <v>218065.97</v>
      </c>
      <c r="H110" s="38">
        <v>30.57</v>
      </c>
      <c r="I110" s="35"/>
      <c r="J110" s="35"/>
      <c r="K110" s="36"/>
    </row>
    <row r="111" spans="2:11" x14ac:dyDescent="0.3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2:11" x14ac:dyDescent="0.35">
      <c r="C112" s="30" t="s">
        <v>310</v>
      </c>
      <c r="D112" s="31"/>
      <c r="E112" s="32"/>
      <c r="F112" s="33"/>
      <c r="G112" s="34" t="s">
        <v>198</v>
      </c>
      <c r="H112" s="34" t="s">
        <v>198</v>
      </c>
      <c r="I112" s="35"/>
      <c r="J112" s="35"/>
      <c r="K112" s="36"/>
    </row>
    <row r="113" spans="1:11" x14ac:dyDescent="0.3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11" x14ac:dyDescent="0.35">
      <c r="C114" s="30" t="s">
        <v>311</v>
      </c>
      <c r="D114" s="31"/>
      <c r="E114" s="32"/>
      <c r="F114" s="33"/>
      <c r="G114" s="34" t="s">
        <v>198</v>
      </c>
      <c r="H114" s="34" t="s">
        <v>198</v>
      </c>
      <c r="I114" s="35"/>
      <c r="J114" s="35"/>
      <c r="K114" s="36"/>
    </row>
    <row r="115" spans="1:11" x14ac:dyDescent="0.3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35">
      <c r="C116" s="37" t="s">
        <v>312</v>
      </c>
      <c r="D116" s="31"/>
      <c r="E116" s="32"/>
      <c r="F116" s="33"/>
      <c r="G116" s="34"/>
      <c r="H116" s="34"/>
      <c r="I116" s="35"/>
      <c r="J116" s="35"/>
      <c r="K116" s="36"/>
    </row>
    <row r="117" spans="1:11" x14ac:dyDescent="0.35">
      <c r="B117" s="1" t="s">
        <v>313</v>
      </c>
      <c r="C117" s="21" t="s">
        <v>314</v>
      </c>
      <c r="D117" s="31" t="s">
        <v>315</v>
      </c>
      <c r="E117" s="32" t="s">
        <v>316</v>
      </c>
      <c r="F117" s="33">
        <v>20000000</v>
      </c>
      <c r="G117" s="34">
        <v>20767.7</v>
      </c>
      <c r="H117" s="34">
        <v>2.91</v>
      </c>
      <c r="I117" s="35">
        <v>7.1733123000000001</v>
      </c>
      <c r="J117" s="35"/>
      <c r="K117" s="36"/>
    </row>
    <row r="118" spans="1:11" x14ac:dyDescent="0.35">
      <c r="B118" s="1" t="s">
        <v>317</v>
      </c>
      <c r="C118" s="21" t="s">
        <v>318</v>
      </c>
      <c r="D118" s="31" t="s">
        <v>319</v>
      </c>
      <c r="E118" s="32" t="s">
        <v>316</v>
      </c>
      <c r="F118" s="33">
        <v>20000000</v>
      </c>
      <c r="G118" s="34">
        <v>20131.919999999998</v>
      </c>
      <c r="H118" s="34">
        <v>2.82</v>
      </c>
      <c r="I118" s="35">
        <v>6.8065204000000001</v>
      </c>
      <c r="J118" s="35"/>
      <c r="K118" s="36"/>
    </row>
    <row r="119" spans="1:11" x14ac:dyDescent="0.35">
      <c r="B119" s="1" t="s">
        <v>320</v>
      </c>
      <c r="C119" s="21" t="s">
        <v>321</v>
      </c>
      <c r="D119" s="31" t="s">
        <v>322</v>
      </c>
      <c r="E119" s="32" t="s">
        <v>316</v>
      </c>
      <c r="F119" s="33">
        <v>1000000</v>
      </c>
      <c r="G119" s="34">
        <v>1012.42</v>
      </c>
      <c r="H119" s="34">
        <v>0.14000000000000001</v>
      </c>
      <c r="I119" s="35">
        <v>6.7266842000000002</v>
      </c>
      <c r="J119" s="35"/>
      <c r="K119" s="36"/>
    </row>
    <row r="120" spans="1:11" x14ac:dyDescent="0.35">
      <c r="C120" s="30" t="s">
        <v>196</v>
      </c>
      <c r="D120" s="31"/>
      <c r="E120" s="32"/>
      <c r="F120" s="33"/>
      <c r="G120" s="38">
        <v>41912.04</v>
      </c>
      <c r="H120" s="38">
        <v>5.87</v>
      </c>
      <c r="I120" s="35"/>
      <c r="J120" s="35"/>
      <c r="K120" s="36"/>
    </row>
    <row r="121" spans="1:11" x14ac:dyDescent="0.35"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1:11" x14ac:dyDescent="0.35">
      <c r="C122" s="37" t="s">
        <v>323</v>
      </c>
      <c r="D122" s="31"/>
      <c r="E122" s="32"/>
      <c r="F122" s="33"/>
      <c r="G122" s="34"/>
      <c r="H122" s="34"/>
      <c r="I122" s="35"/>
      <c r="J122" s="35"/>
      <c r="K122" s="36"/>
    </row>
    <row r="123" spans="1:11" x14ac:dyDescent="0.35">
      <c r="B123" s="1" t="s">
        <v>324</v>
      </c>
      <c r="C123" s="21" t="s">
        <v>325</v>
      </c>
      <c r="D123" s="31" t="s">
        <v>326</v>
      </c>
      <c r="E123" s="32" t="s">
        <v>316</v>
      </c>
      <c r="F123" s="33">
        <v>10000000</v>
      </c>
      <c r="G123" s="34">
        <v>10018.049999999999</v>
      </c>
      <c r="H123" s="34">
        <v>1.4</v>
      </c>
      <c r="I123" s="35">
        <v>7.2450894999999997</v>
      </c>
      <c r="J123" s="35"/>
      <c r="K123" s="36"/>
    </row>
    <row r="124" spans="1:11" x14ac:dyDescent="0.35">
      <c r="C124" s="30" t="s">
        <v>196</v>
      </c>
      <c r="D124" s="31"/>
      <c r="E124" s="32"/>
      <c r="F124" s="33"/>
      <c r="G124" s="38">
        <v>10018.049999999999</v>
      </c>
      <c r="H124" s="38">
        <v>1.4</v>
      </c>
      <c r="I124" s="35"/>
      <c r="J124" s="35"/>
      <c r="K124" s="36"/>
    </row>
    <row r="125" spans="1:11" x14ac:dyDescent="0.35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1:11" x14ac:dyDescent="0.35">
      <c r="A126" s="28"/>
      <c r="B126" s="29"/>
      <c r="C126" s="30" t="s">
        <v>327</v>
      </c>
      <c r="D126" s="31"/>
      <c r="E126" s="32"/>
      <c r="F126" s="33"/>
      <c r="G126" s="34"/>
      <c r="H126" s="34"/>
      <c r="I126" s="35"/>
      <c r="J126" s="35"/>
      <c r="K126" s="36"/>
    </row>
    <row r="127" spans="1:11" x14ac:dyDescent="0.35">
      <c r="A127" s="29"/>
      <c r="B127" s="29"/>
      <c r="C127" s="30" t="s">
        <v>328</v>
      </c>
      <c r="D127" s="31"/>
      <c r="E127" s="32"/>
      <c r="F127" s="33"/>
      <c r="G127" s="34" t="s">
        <v>198</v>
      </c>
      <c r="H127" s="34" t="s">
        <v>198</v>
      </c>
      <c r="I127" s="35"/>
      <c r="J127" s="35"/>
      <c r="K127" s="36"/>
    </row>
    <row r="128" spans="1:11" x14ac:dyDescent="0.35">
      <c r="A128" s="29"/>
      <c r="B128" s="29"/>
      <c r="C128" s="30"/>
      <c r="D128" s="31"/>
      <c r="E128" s="32"/>
      <c r="F128" s="33"/>
      <c r="G128" s="34"/>
      <c r="H128" s="34"/>
      <c r="I128" s="35"/>
      <c r="J128" s="35"/>
      <c r="K128" s="36"/>
    </row>
    <row r="129" spans="1:11" x14ac:dyDescent="0.35">
      <c r="C129" s="37" t="s">
        <v>329</v>
      </c>
      <c r="D129" s="31"/>
      <c r="E129" s="32"/>
      <c r="F129" s="33"/>
      <c r="G129" s="34"/>
      <c r="H129" s="34"/>
      <c r="I129" s="35"/>
      <c r="J129" s="35"/>
      <c r="K129" s="36"/>
    </row>
    <row r="130" spans="1:11" x14ac:dyDescent="0.35">
      <c r="B130" s="1" t="s">
        <v>330</v>
      </c>
      <c r="C130" s="21" t="s">
        <v>331</v>
      </c>
      <c r="D130" s="31" t="s">
        <v>332</v>
      </c>
      <c r="E130" s="32" t="s">
        <v>333</v>
      </c>
      <c r="F130" s="33">
        <v>500</v>
      </c>
      <c r="G130" s="34">
        <v>2340.1799999999998</v>
      </c>
      <c r="H130" s="34">
        <v>0.33</v>
      </c>
      <c r="I130" s="35">
        <v>7.6</v>
      </c>
      <c r="J130" s="35"/>
      <c r="K130" s="36"/>
    </row>
    <row r="131" spans="1:11" x14ac:dyDescent="0.35">
      <c r="C131" s="30" t="s">
        <v>196</v>
      </c>
      <c r="D131" s="31"/>
      <c r="E131" s="32"/>
      <c r="F131" s="33"/>
      <c r="G131" s="38">
        <v>2340.1799999999998</v>
      </c>
      <c r="H131" s="38">
        <v>0.33</v>
      </c>
      <c r="I131" s="35"/>
      <c r="J131" s="35"/>
      <c r="K131" s="36"/>
    </row>
    <row r="132" spans="1:11" x14ac:dyDescent="0.35">
      <c r="C132" s="21"/>
      <c r="D132" s="31"/>
      <c r="E132" s="32"/>
      <c r="F132" s="33"/>
      <c r="G132" s="34"/>
      <c r="H132" s="34"/>
      <c r="I132" s="35"/>
      <c r="J132" s="35"/>
      <c r="K132" s="36"/>
    </row>
    <row r="133" spans="1:11" x14ac:dyDescent="0.35">
      <c r="C133" s="30" t="s">
        <v>334</v>
      </c>
      <c r="D133" s="31"/>
      <c r="E133" s="32"/>
      <c r="F133" s="33"/>
      <c r="G133" s="34" t="s">
        <v>198</v>
      </c>
      <c r="H133" s="34" t="s">
        <v>198</v>
      </c>
      <c r="I133" s="35"/>
      <c r="J133" s="35"/>
      <c r="K133" s="36"/>
    </row>
    <row r="134" spans="1:11" x14ac:dyDescent="0.35">
      <c r="C134" s="21"/>
      <c r="D134" s="31"/>
      <c r="E134" s="32"/>
      <c r="F134" s="33"/>
      <c r="G134" s="34"/>
      <c r="H134" s="34"/>
      <c r="I134" s="35"/>
      <c r="J134" s="35"/>
      <c r="K134" s="36"/>
    </row>
    <row r="135" spans="1:11" x14ac:dyDescent="0.35">
      <c r="C135" s="30" t="s">
        <v>335</v>
      </c>
      <c r="D135" s="31"/>
      <c r="E135" s="32"/>
      <c r="F135" s="33"/>
      <c r="G135" s="34" t="s">
        <v>198</v>
      </c>
      <c r="H135" s="34" t="s">
        <v>198</v>
      </c>
      <c r="I135" s="35"/>
      <c r="J135" s="35"/>
      <c r="K135" s="36"/>
    </row>
    <row r="136" spans="1:11" x14ac:dyDescent="0.35">
      <c r="C136" s="21"/>
      <c r="D136" s="31"/>
      <c r="E136" s="32"/>
      <c r="F136" s="33"/>
      <c r="G136" s="34"/>
      <c r="H136" s="34"/>
      <c r="I136" s="35"/>
      <c r="J136" s="35"/>
      <c r="K136" s="36"/>
    </row>
    <row r="137" spans="1:11" x14ac:dyDescent="0.35">
      <c r="C137" s="30" t="s">
        <v>336</v>
      </c>
      <c r="D137" s="31"/>
      <c r="E137" s="32"/>
      <c r="F137" s="33"/>
      <c r="G137" s="34" t="s">
        <v>198</v>
      </c>
      <c r="H137" s="34" t="s">
        <v>198</v>
      </c>
      <c r="I137" s="35"/>
      <c r="J137" s="35"/>
      <c r="K137" s="36"/>
    </row>
    <row r="138" spans="1:11" x14ac:dyDescent="0.35">
      <c r="C138" s="21"/>
      <c r="D138" s="31"/>
      <c r="E138" s="32"/>
      <c r="F138" s="33"/>
      <c r="G138" s="34"/>
      <c r="H138" s="34"/>
      <c r="I138" s="35"/>
      <c r="J138" s="35"/>
      <c r="K138" s="36"/>
    </row>
    <row r="139" spans="1:11" x14ac:dyDescent="0.35">
      <c r="A139" s="28"/>
      <c r="B139" s="29"/>
      <c r="C139" s="30" t="s">
        <v>337</v>
      </c>
      <c r="D139" s="31"/>
      <c r="E139" s="32"/>
      <c r="F139" s="33"/>
      <c r="G139" s="34"/>
      <c r="H139" s="34"/>
      <c r="I139" s="35"/>
      <c r="J139" s="35"/>
      <c r="K139" s="36"/>
    </row>
    <row r="140" spans="1:11" x14ac:dyDescent="0.35">
      <c r="C140" s="37" t="s">
        <v>338</v>
      </c>
      <c r="D140" s="31"/>
      <c r="E140" s="32"/>
      <c r="F140" s="33"/>
      <c r="G140" s="34"/>
      <c r="H140" s="34"/>
      <c r="I140" s="35"/>
      <c r="J140" s="35"/>
      <c r="K140" s="36"/>
    </row>
    <row r="141" spans="1:11" x14ac:dyDescent="0.35">
      <c r="B141" s="1" t="s">
        <v>339</v>
      </c>
      <c r="C141" s="21" t="s">
        <v>340</v>
      </c>
      <c r="D141" s="31" t="s">
        <v>341</v>
      </c>
      <c r="E141" s="32" t="s">
        <v>74</v>
      </c>
      <c r="F141" s="33">
        <v>105241000</v>
      </c>
      <c r="G141" s="34">
        <v>74878.97</v>
      </c>
      <c r="H141" s="34">
        <v>10.49</v>
      </c>
      <c r="I141" s="35"/>
      <c r="J141" s="35"/>
      <c r="K141" s="36"/>
    </row>
    <row r="142" spans="1:11" x14ac:dyDescent="0.35">
      <c r="B142" s="1" t="s">
        <v>342</v>
      </c>
      <c r="C142" s="21" t="s">
        <v>343</v>
      </c>
      <c r="D142" s="31" t="s">
        <v>344</v>
      </c>
      <c r="E142" s="32" t="s">
        <v>74</v>
      </c>
      <c r="F142" s="33">
        <v>26730000</v>
      </c>
      <c r="G142" s="34">
        <v>24236.09</v>
      </c>
      <c r="H142" s="34">
        <v>3.39</v>
      </c>
      <c r="I142" s="35"/>
      <c r="J142" s="35"/>
      <c r="K142" s="36"/>
    </row>
    <row r="143" spans="1:11" x14ac:dyDescent="0.35">
      <c r="B143" s="1" t="s">
        <v>345</v>
      </c>
      <c r="C143" s="21" t="s">
        <v>346</v>
      </c>
      <c r="D143" s="31" t="s">
        <v>347</v>
      </c>
      <c r="E143" s="32" t="s">
        <v>74</v>
      </c>
      <c r="F143" s="33">
        <v>19500000</v>
      </c>
      <c r="G143" s="34">
        <v>18018</v>
      </c>
      <c r="H143" s="34">
        <v>2.52</v>
      </c>
      <c r="I143" s="35"/>
      <c r="J143" s="35"/>
      <c r="K143" s="36"/>
    </row>
    <row r="144" spans="1:11" x14ac:dyDescent="0.35">
      <c r="C144" s="30" t="s">
        <v>196</v>
      </c>
      <c r="D144" s="31"/>
      <c r="E144" s="32"/>
      <c r="F144" s="33"/>
      <c r="G144" s="38">
        <v>117133.06</v>
      </c>
      <c r="H144" s="38">
        <v>16.399999999999999</v>
      </c>
      <c r="I144" s="35"/>
      <c r="J144" s="35"/>
      <c r="K144" s="36"/>
    </row>
    <row r="145" spans="1:54" x14ac:dyDescent="0.35">
      <c r="C145" s="21"/>
      <c r="D145" s="31"/>
      <c r="E145" s="32"/>
      <c r="F145" s="33"/>
      <c r="G145" s="34"/>
      <c r="H145" s="34"/>
      <c r="I145" s="35"/>
      <c r="J145" s="35"/>
      <c r="K145" s="36"/>
    </row>
    <row r="146" spans="1:54" x14ac:dyDescent="0.35">
      <c r="C146" s="30" t="s">
        <v>348</v>
      </c>
      <c r="D146" s="31"/>
      <c r="E146" s="32"/>
      <c r="F146" s="33"/>
      <c r="G146" s="34" t="s">
        <v>198</v>
      </c>
      <c r="H146" s="34" t="s">
        <v>198</v>
      </c>
      <c r="I146" s="35"/>
      <c r="J146" s="35"/>
      <c r="K146" s="36"/>
    </row>
    <row r="147" spans="1:54" x14ac:dyDescent="0.35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54" x14ac:dyDescent="0.35">
      <c r="C148" s="30" t="s">
        <v>349</v>
      </c>
      <c r="D148" s="31"/>
      <c r="E148" s="32"/>
      <c r="F148" s="33"/>
      <c r="G148" s="34" t="s">
        <v>198</v>
      </c>
      <c r="H148" s="34" t="s">
        <v>198</v>
      </c>
      <c r="I148" s="35"/>
      <c r="J148" s="35"/>
      <c r="K148" s="36"/>
    </row>
    <row r="149" spans="1:54" x14ac:dyDescent="0.35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54" x14ac:dyDescent="0.35">
      <c r="C150" s="30" t="s">
        <v>350</v>
      </c>
      <c r="D150" s="31"/>
      <c r="E150" s="32"/>
      <c r="F150" s="33"/>
      <c r="G150" s="34" t="s">
        <v>198</v>
      </c>
      <c r="H150" s="34" t="s">
        <v>198</v>
      </c>
      <c r="I150" s="35"/>
      <c r="J150" s="35"/>
      <c r="K150" s="36"/>
    </row>
    <row r="151" spans="1:54" x14ac:dyDescent="0.35">
      <c r="C151" s="21"/>
      <c r="D151" s="31"/>
      <c r="E151" s="32"/>
      <c r="F151" s="33"/>
      <c r="G151" s="34"/>
      <c r="H151" s="34"/>
      <c r="I151" s="35"/>
      <c r="J151" s="35"/>
      <c r="K151" s="36"/>
    </row>
    <row r="152" spans="1:54" x14ac:dyDescent="0.35">
      <c r="C152" s="30" t="s">
        <v>351</v>
      </c>
      <c r="D152" s="31"/>
      <c r="E152" s="32"/>
      <c r="F152" s="33"/>
      <c r="G152" s="34" t="s">
        <v>198</v>
      </c>
      <c r="H152" s="34" t="s">
        <v>198</v>
      </c>
      <c r="I152" s="35"/>
      <c r="J152" s="35"/>
      <c r="K152" s="36"/>
    </row>
    <row r="153" spans="1:54" x14ac:dyDescent="0.35">
      <c r="C153" s="21"/>
      <c r="D153" s="31"/>
      <c r="E153" s="32"/>
      <c r="F153" s="33"/>
      <c r="G153" s="34"/>
      <c r="H153" s="34"/>
      <c r="I153" s="35"/>
      <c r="J153" s="35"/>
      <c r="K153" s="36"/>
    </row>
    <row r="154" spans="1:54" x14ac:dyDescent="0.35">
      <c r="C154" s="37" t="s">
        <v>352</v>
      </c>
      <c r="D154" s="31"/>
      <c r="E154" s="32"/>
      <c r="F154" s="33"/>
      <c r="G154" s="34"/>
      <c r="H154" s="34"/>
      <c r="I154" s="35"/>
      <c r="J154" s="35"/>
      <c r="K154" s="36"/>
    </row>
    <row r="155" spans="1:54" x14ac:dyDescent="0.35">
      <c r="B155" s="1" t="s">
        <v>353</v>
      </c>
      <c r="C155" s="21" t="s">
        <v>354</v>
      </c>
      <c r="D155" s="31"/>
      <c r="E155" s="32"/>
      <c r="F155" s="33"/>
      <c r="G155" s="34">
        <v>13176.41</v>
      </c>
      <c r="H155" s="34">
        <v>1.85</v>
      </c>
      <c r="I155" s="35"/>
      <c r="J155" s="35"/>
      <c r="K155" s="36"/>
    </row>
    <row r="156" spans="1:54" x14ac:dyDescent="0.35">
      <c r="C156" s="30" t="s">
        <v>196</v>
      </c>
      <c r="D156" s="31"/>
      <c r="E156" s="32"/>
      <c r="F156" s="33"/>
      <c r="G156" s="38">
        <v>13176.41</v>
      </c>
      <c r="H156" s="38">
        <v>1.85</v>
      </c>
      <c r="I156" s="35"/>
      <c r="J156" s="35"/>
      <c r="K156" s="36"/>
    </row>
    <row r="157" spans="1:54" x14ac:dyDescent="0.35">
      <c r="C157" s="21"/>
      <c r="D157" s="31"/>
      <c r="E157" s="32"/>
      <c r="F157" s="33"/>
      <c r="G157" s="34"/>
      <c r="H157" s="34"/>
      <c r="I157" s="35"/>
      <c r="J157" s="35"/>
      <c r="K157" s="36"/>
    </row>
    <row r="158" spans="1:54" x14ac:dyDescent="0.35">
      <c r="A158" s="28"/>
      <c r="B158" s="29"/>
      <c r="C158" s="30" t="s">
        <v>355</v>
      </c>
      <c r="D158" s="31"/>
      <c r="E158" s="32"/>
      <c r="F158" s="33"/>
      <c r="G158" s="34"/>
      <c r="H158" s="34"/>
      <c r="I158" s="35"/>
      <c r="J158" s="35"/>
      <c r="K158" s="36"/>
    </row>
    <row r="159" spans="1:54" s="2" customFormat="1" ht="13.5" x14ac:dyDescent="0.35">
      <c r="A159" s="29"/>
      <c r="B159" s="29"/>
      <c r="C159" s="21" t="s">
        <v>356</v>
      </c>
      <c r="D159" s="31"/>
      <c r="E159" s="32"/>
      <c r="F159" s="33"/>
      <c r="G159" s="34" t="s">
        <v>198</v>
      </c>
      <c r="H159" s="34" t="s">
        <v>198</v>
      </c>
      <c r="I159" s="35"/>
      <c r="J159" s="35"/>
      <c r="K159" s="36"/>
      <c r="L159" s="10"/>
      <c r="AI159" s="10"/>
      <c r="AV159" s="10"/>
      <c r="AX159" s="10"/>
      <c r="BB159" s="10"/>
    </row>
    <row r="160" spans="1:54" x14ac:dyDescent="0.35">
      <c r="B160" s="1"/>
      <c r="C160" s="21" t="s">
        <v>357</v>
      </c>
      <c r="D160" s="31"/>
      <c r="E160" s="32"/>
      <c r="F160" s="33"/>
      <c r="G160" s="34">
        <v>5540.97</v>
      </c>
      <c r="H160" s="34">
        <v>0.77</v>
      </c>
      <c r="I160" s="35"/>
      <c r="J160" s="35"/>
      <c r="K160" s="36"/>
    </row>
    <row r="161" spans="3:11" x14ac:dyDescent="0.35">
      <c r="C161" s="30" t="s">
        <v>196</v>
      </c>
      <c r="D161" s="31"/>
      <c r="E161" s="32"/>
      <c r="F161" s="33"/>
      <c r="G161" s="38">
        <v>5540.97</v>
      </c>
      <c r="H161" s="38">
        <v>0.77</v>
      </c>
      <c r="I161" s="35"/>
      <c r="J161" s="35"/>
      <c r="K161" s="36"/>
    </row>
    <row r="162" spans="3:11" x14ac:dyDescent="0.35">
      <c r="C162" s="21"/>
      <c r="D162" s="31"/>
      <c r="E162" s="32"/>
      <c r="F162" s="33"/>
      <c r="G162" s="34"/>
      <c r="H162" s="34"/>
      <c r="I162" s="35"/>
      <c r="J162" s="35"/>
      <c r="K162" s="36"/>
    </row>
    <row r="163" spans="3:11" ht="15" thickBot="1" x14ac:dyDescent="0.4">
      <c r="C163" s="39" t="s">
        <v>358</v>
      </c>
      <c r="D163" s="40"/>
      <c r="E163" s="41"/>
      <c r="F163" s="42"/>
      <c r="G163" s="43">
        <v>714070.93</v>
      </c>
      <c r="H163" s="43">
        <v>99.999999999999986</v>
      </c>
      <c r="I163" s="44"/>
      <c r="J163" s="44"/>
      <c r="K163" s="45"/>
    </row>
    <row r="166" spans="3:11" x14ac:dyDescent="0.35">
      <c r="C166" s="11" t="s">
        <v>359</v>
      </c>
    </row>
    <row r="167" spans="3:11" x14ac:dyDescent="0.35">
      <c r="C167" s="46" t="s">
        <v>360</v>
      </c>
      <c r="D167" s="46"/>
      <c r="E167" s="46"/>
      <c r="F167" s="46"/>
      <c r="G167" s="46"/>
      <c r="H167" s="46"/>
      <c r="I167" s="46"/>
      <c r="J167" s="46"/>
      <c r="K167" s="46"/>
    </row>
    <row r="168" spans="3:11" x14ac:dyDescent="0.35">
      <c r="C168" s="2" t="s">
        <v>361</v>
      </c>
    </row>
    <row r="169" spans="3:11" x14ac:dyDescent="0.35">
      <c r="C169" s="2" t="s">
        <v>362</v>
      </c>
    </row>
    <row r="170" spans="3:11" ht="30" customHeight="1" x14ac:dyDescent="0.35">
      <c r="C170" s="47" t="s">
        <v>363</v>
      </c>
      <c r="D170" s="48"/>
      <c r="E170" s="48"/>
      <c r="F170" s="48"/>
      <c r="G170" s="48"/>
      <c r="H170" s="48"/>
      <c r="I170" s="48"/>
      <c r="J170" s="48"/>
      <c r="K170" s="48"/>
    </row>
    <row r="171" spans="3:11" x14ac:dyDescent="0.35">
      <c r="C171" s="2" t="s">
        <v>364</v>
      </c>
    </row>
    <row r="173" spans="3:11" x14ac:dyDescent="0.35">
      <c r="C173" s="49" t="s">
        <v>365</v>
      </c>
      <c r="E173" s="49" t="s">
        <v>366</v>
      </c>
      <c r="F173" s="50"/>
    </row>
    <row r="174" spans="3:11" x14ac:dyDescent="0.35">
      <c r="E174" s="2" t="s">
        <v>367</v>
      </c>
    </row>
  </sheetData>
  <mergeCells count="1">
    <mergeCell ref="C170:K170"/>
  </mergeCells>
  <hyperlinks>
    <hyperlink ref="J2" location="'Index'!A1" display="'Index'!A1" xr:uid="{2D7B4A77-A2F4-4484-8042-D70D7F8DF9B8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106</vt:i4>
      </vt:variant>
    </vt:vector>
  </HeadingPairs>
  <TitlesOfParts>
    <vt:vector size="107" baseType="lpstr">
      <vt:lpstr>SMAAF</vt:lpstr>
      <vt:lpstr>XDO_?CLASS_3?35?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XDO_?FINAL_ISIN?170?</vt:lpstr>
      <vt:lpstr>XDO_?FINAL_ISIN?171?</vt:lpstr>
      <vt:lpstr>XDO_?FINAL_ISIN?172?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XDO_?FINAL_MV?170?</vt:lpstr>
      <vt:lpstr>XDO_?FINAL_MV?171?</vt:lpstr>
      <vt:lpstr>XDO_?FINAL_MV?172?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XDO_?FINAL_NAME?170?</vt:lpstr>
      <vt:lpstr>XDO_?FINAL_NAME?171?</vt:lpstr>
      <vt:lpstr>XDO_?FINAL_NAME?172?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XDO_?FINAL_PER_NET?170?</vt:lpstr>
      <vt:lpstr>XDO_?FINAL_PER_NET?171?</vt:lpstr>
      <vt:lpstr>XDO_?FINAL_PER_NET?172?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XDO_?FINAL_QUANTITE?170?</vt:lpstr>
      <vt:lpstr>XDO_?FINAL_QUANTITE?171?</vt:lpstr>
      <vt:lpstr>XDO_?FINAL_QUANTITE?172?</vt:lpstr>
      <vt:lpstr>XDO_?NAMCNAME?35?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XDO_?NOVAL?170?</vt:lpstr>
      <vt:lpstr>XDO_?NOVAL?171?</vt:lpstr>
      <vt:lpstr>XDO_?NOVAL?172?</vt:lpstr>
      <vt:lpstr>XDO_?NPTF?35?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XDO_?RATING?170?</vt:lpstr>
      <vt:lpstr>XDO_?RATING?171?</vt:lpstr>
      <vt:lpstr>XDO_?RATING?172?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XDO_?REMARKS?170?</vt:lpstr>
      <vt:lpstr>XDO_?REMARKS?171?</vt:lpstr>
      <vt:lpstr>XDO_?REMARKS?172?</vt:lpstr>
      <vt:lpstr>XDO_?TITL?35?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XDO_?YTM?170?</vt:lpstr>
      <vt:lpstr>XDO_?YTM?171?</vt:lpstr>
      <vt:lpstr>XDO_?YTM?172?</vt:lpstr>
      <vt:lpstr>XDO_GROUP_?G_2?35?</vt:lpstr>
      <vt:lpstr>XDO_GROUP_?G_3?35?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XDO_GROUP_?G_4?170?</vt:lpstr>
      <vt:lpstr>XDO_GROUP_?G_4?171?</vt:lpstr>
      <vt:lpstr>XDO_GROUP_?G_4?172?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2025-02-07T07:31:17Z</dcterms:created>
  <dcterms:modified xsi:type="dcterms:W3CDTF">2025-02-07T07:31:17Z</dcterms:modified>
</cp:coreProperties>
</file>