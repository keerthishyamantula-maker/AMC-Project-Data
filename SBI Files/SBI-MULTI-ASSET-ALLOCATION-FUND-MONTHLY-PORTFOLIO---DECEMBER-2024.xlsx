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ecember 2024\"/>
    </mc:Choice>
  </mc:AlternateContent>
  <xr:revisionPtr revIDLastSave="0" documentId="8_{9C518E03-A854-46BF-8B44-336C398B7E1E}" xr6:coauthVersionLast="47" xr6:coauthVersionMax="47" xr10:uidLastSave="{00000000-0000-0000-0000-000000000000}"/>
  <bookViews>
    <workbookView xWindow="-110" yWindow="-110" windowWidth="19420" windowHeight="10420" xr2:uid="{FA8BE821-DB81-4C61-A9C9-B96C90281140}"/>
  </bookViews>
  <sheets>
    <sheet name="SMAA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2?">#REF!</definedName>
    <definedName name="XDO_?CLASS_3?3?">#REF!</definedName>
    <definedName name="XDO_?CLASS_3?35?">SMAAF!$C$8:$C$59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62?">SMAAF!$D$10:$D$59</definedName>
    <definedName name="XDO_?FINAL_ISIN?163?">SMAAF!$D$10:$D$67</definedName>
    <definedName name="XDO_?FINAL_ISIN?164?">SMAAF!$D$10:$D$72</definedName>
    <definedName name="XDO_?FINAL_ISIN?165?">SMAAF!$D$10:$D$108</definedName>
    <definedName name="XDO_?FINAL_ISIN?166?">SMAAF!$D$10:$D$118</definedName>
    <definedName name="XDO_?FINAL_ISIN?167?">SMAAF!$D$10:$D$127</definedName>
    <definedName name="XDO_?FINAL_ISIN?168?">SMAAF!$D$10:$D$140</definedName>
    <definedName name="XDO_?FINAL_ISIN?169?">SMAAF!$D$10:$D$152</definedName>
    <definedName name="XDO_?FINAL_ISIN?170?">SMAAF!$D$10:$D$157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49?">#REF!</definedName>
    <definedName name="XDO_?FINAL_ISIN?5?">#REF!</definedName>
    <definedName name="XDO_?FINAL_ISIN?50?">#REF!</definedName>
    <definedName name="XDO_?FINAL_ISIN?569?">#REF!</definedName>
    <definedName name="XDO_?FINAL_ISIN?570?">#REF!</definedName>
    <definedName name="XDO_?FINAL_ISIN?571?">#REF!</definedName>
    <definedName name="XDO_?FINAL_ISIN?572?">#REF!</definedName>
    <definedName name="XDO_?FINAL_ISIN?573?">#REF!</definedName>
    <definedName name="XDO_?FINAL_ISIN?574?">#REF!</definedName>
    <definedName name="XDO_?FINAL_ISIN?575?">#REF!</definedName>
    <definedName name="XDO_?FINAL_ISIN?576?">#REF!</definedName>
    <definedName name="XDO_?FINAL_ISIN?577?">#REF!</definedName>
    <definedName name="XDO_?FINAL_ISIN?578?">#REF!</definedName>
    <definedName name="XDO_?FINAL_ISIN?579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19?">[1]SFEF!$G$10:$G$34</definedName>
    <definedName name="XDO_?FINAL_MV?162?">SMAAF!$G$10:$G$59</definedName>
    <definedName name="XDO_?FINAL_MV?163?">SMAAF!$G$10:$G$67</definedName>
    <definedName name="XDO_?FINAL_MV?164?">SMAAF!$G$10:$G$72</definedName>
    <definedName name="XDO_?FINAL_MV?165?">SMAAF!$G$10:$G$108</definedName>
    <definedName name="XDO_?FINAL_MV?166?">SMAAF!$G$10:$G$118</definedName>
    <definedName name="XDO_?FINAL_MV?167?">SMAAF!$G$10:$G$127</definedName>
    <definedName name="XDO_?FINAL_MV?168?">SMAAF!$G$10:$G$140</definedName>
    <definedName name="XDO_?FINAL_MV?169?">SMAAF!$G$10:$G$152</definedName>
    <definedName name="XDO_?FINAL_MV?170?">SMAAF!$G$10:$G$157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8?">#REF!</definedName>
    <definedName name="XDO_?FINAL_MV?29?">#REF!</definedName>
    <definedName name="XDO_?FINAL_MV?3?">#REF!</definedName>
    <definedName name="XDO_?FINAL_MV?30?">[1]SEHF!$G$10:$G$47</definedName>
    <definedName name="XDO_?FINAL_MV?389?">[1]SBAF!$G$10:$G$107</definedName>
    <definedName name="XDO_?FINAL_MV?4?">#REF!</definedName>
    <definedName name="XDO_?FINAL_MV?41?">#REF!</definedName>
    <definedName name="XDO_?FINAL_MV?42?">#REF!</definedName>
    <definedName name="XDO_?FINAL_MV?49?">#REF!</definedName>
    <definedName name="XDO_?FINAL_MV?5?">#REF!</definedName>
    <definedName name="XDO_?FINAL_MV?50?">#REF!</definedName>
    <definedName name="XDO_?FINAL_MV?569?">#REF!</definedName>
    <definedName name="XDO_?FINAL_MV?570?">#REF!</definedName>
    <definedName name="XDO_?FINAL_MV?571?">#REF!</definedName>
    <definedName name="XDO_?FINAL_MV?572?">#REF!</definedName>
    <definedName name="XDO_?FINAL_MV?573?">#REF!</definedName>
    <definedName name="XDO_?FINAL_MV?574?">#REF!</definedName>
    <definedName name="XDO_?FINAL_MV?575?">#REF!</definedName>
    <definedName name="XDO_?FINAL_MV?576?">#REF!</definedName>
    <definedName name="XDO_?FINAL_MV?577?">#REF!</definedName>
    <definedName name="XDO_?FINAL_MV?578?">#REF!</definedName>
    <definedName name="XDO_?FINAL_MV?579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62?">SMAAF!$C$10:$C$59</definedName>
    <definedName name="XDO_?FINAL_NAME?163?">SMAAF!$C$10:$C$67</definedName>
    <definedName name="XDO_?FINAL_NAME?164?">SMAAF!$C$10:$C$72</definedName>
    <definedName name="XDO_?FINAL_NAME?165?">SMAAF!$C$10:$C$108</definedName>
    <definedName name="XDO_?FINAL_NAME?166?">SMAAF!$C$10:$C$118</definedName>
    <definedName name="XDO_?FINAL_NAME?167?">SMAAF!$C$10:$C$127</definedName>
    <definedName name="XDO_?FINAL_NAME?168?">SMAAF!$C$10:$C$140</definedName>
    <definedName name="XDO_?FINAL_NAME?169?">SMAAF!$C$10:$C$152</definedName>
    <definedName name="XDO_?FINAL_NAME?170?">SMAAF!$C$10:$C$157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49?">#REF!</definedName>
    <definedName name="XDO_?FINAL_NAME?5?">#REF!</definedName>
    <definedName name="XDO_?FINAL_NAME?50?">#REF!</definedName>
    <definedName name="XDO_?FINAL_NAME?569?">#REF!</definedName>
    <definedName name="XDO_?FINAL_NAME?570?">#REF!</definedName>
    <definedName name="XDO_?FINAL_NAME?571?">#REF!</definedName>
    <definedName name="XDO_?FINAL_NAME?572?">#REF!</definedName>
    <definedName name="XDO_?FINAL_NAME?573?">#REF!</definedName>
    <definedName name="XDO_?FINAL_NAME?574?">#REF!</definedName>
    <definedName name="XDO_?FINAL_NAME?575?">#REF!</definedName>
    <definedName name="XDO_?FINAL_NAME?576?">#REF!</definedName>
    <definedName name="XDO_?FINAL_NAME?577?">#REF!</definedName>
    <definedName name="XDO_?FINAL_NAME?578?">#REF!</definedName>
    <definedName name="XDO_?FINAL_NAME?579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19?">[1]SFEF!$H$10:$H$34</definedName>
    <definedName name="XDO_?FINAL_PER_NET?162?">SMAAF!$H$10:$H$59</definedName>
    <definedName name="XDO_?FINAL_PER_NET?163?">SMAAF!$H$10:$H$67</definedName>
    <definedName name="XDO_?FINAL_PER_NET?164?">SMAAF!$H$10:$H$72</definedName>
    <definedName name="XDO_?FINAL_PER_NET?165?">SMAAF!$H$10:$H$108</definedName>
    <definedName name="XDO_?FINAL_PER_NET?166?">SMAAF!$H$10:$H$118</definedName>
    <definedName name="XDO_?FINAL_PER_NET?167?">SMAAF!$H$10:$H$127</definedName>
    <definedName name="XDO_?FINAL_PER_NET?168?">SMAAF!$H$10:$H$140</definedName>
    <definedName name="XDO_?FINAL_PER_NET?169?">SMAAF!$H$10:$H$152</definedName>
    <definedName name="XDO_?FINAL_PER_NET?170?">SMAAF!$H$10:$H$157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8?">#REF!</definedName>
    <definedName name="XDO_?FINAL_PER_NET?29?">#REF!</definedName>
    <definedName name="XDO_?FINAL_PER_NET?3?">#REF!</definedName>
    <definedName name="XDO_?FINAL_PER_NET?30?">[1]SEHF!$H$10:$H$47</definedName>
    <definedName name="XDO_?FINAL_PER_NET?389?">[1]SBAF!$H$10:$H$107</definedName>
    <definedName name="XDO_?FINAL_PER_NET?4?">#REF!</definedName>
    <definedName name="XDO_?FINAL_PER_NET?41?">#REF!</definedName>
    <definedName name="XDO_?FINAL_PER_NET?42?">#REF!</definedName>
    <definedName name="XDO_?FINAL_PER_NET?49?">#REF!</definedName>
    <definedName name="XDO_?FINAL_PER_NET?5?">#REF!</definedName>
    <definedName name="XDO_?FINAL_PER_NET?50?">#REF!</definedName>
    <definedName name="XDO_?FINAL_PER_NET?569?">#REF!</definedName>
    <definedName name="XDO_?FINAL_PER_NET?570?">#REF!</definedName>
    <definedName name="XDO_?FINAL_PER_NET?571?">#REF!</definedName>
    <definedName name="XDO_?FINAL_PER_NET?572?">#REF!</definedName>
    <definedName name="XDO_?FINAL_PER_NET?573?">#REF!</definedName>
    <definedName name="XDO_?FINAL_PER_NET?574?">#REF!</definedName>
    <definedName name="XDO_?FINAL_PER_NET?575?">#REF!</definedName>
    <definedName name="XDO_?FINAL_PER_NET?576?">#REF!</definedName>
    <definedName name="XDO_?FINAL_PER_NET?577?">#REF!</definedName>
    <definedName name="XDO_?FINAL_PER_NET?578?">#REF!</definedName>
    <definedName name="XDO_?FINAL_PER_NET?579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62?">SMAAF!$F$10:$F$59</definedName>
    <definedName name="XDO_?FINAL_QUANTITE?163?">SMAAF!$F$10:$F$67</definedName>
    <definedName name="XDO_?FINAL_QUANTITE?164?">SMAAF!$F$10:$F$72</definedName>
    <definedName name="XDO_?FINAL_QUANTITE?165?">SMAAF!$F$10:$F$108</definedName>
    <definedName name="XDO_?FINAL_QUANTITE?166?">SMAAF!$F$10:$F$118</definedName>
    <definedName name="XDO_?FINAL_QUANTITE?167?">SMAAF!$F$10:$F$127</definedName>
    <definedName name="XDO_?FINAL_QUANTITE?168?">SMAAF!$F$10:$F$140</definedName>
    <definedName name="XDO_?FINAL_QUANTITE?169?">SMAAF!$F$10:$F$152</definedName>
    <definedName name="XDO_?FINAL_QUANTITE?170?">SMAAF!$F$10:$F$157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49?">#REF!</definedName>
    <definedName name="XDO_?FINAL_QUANTITE?5?">#REF!</definedName>
    <definedName name="XDO_?FINAL_QUANTITE?50?">#REF!</definedName>
    <definedName name="XDO_?FINAL_QUANTITE?569?">#REF!</definedName>
    <definedName name="XDO_?FINAL_QUANTITE?570?">#REF!</definedName>
    <definedName name="XDO_?FINAL_QUANTITE?571?">#REF!</definedName>
    <definedName name="XDO_?FINAL_QUANTITE?572?">#REF!</definedName>
    <definedName name="XDO_?FINAL_QUANTITE?573?">#REF!</definedName>
    <definedName name="XDO_?FINAL_QUANTITE?574?">#REF!</definedName>
    <definedName name="XDO_?FINAL_QUANTITE?575?">#REF!</definedName>
    <definedName name="XDO_?FINAL_QUANTITE?576?">#REF!</definedName>
    <definedName name="XDO_?FINAL_QUANTITE?577?">#REF!</definedName>
    <definedName name="XDO_?FINAL_QUANTITE?578?">#REF!</definedName>
    <definedName name="XDO_?FINAL_QUANTITE?579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[1]SBINICIF!#REF!</definedName>
    <definedName name="XDO_?NAMC?131?">'[1]SBI Quant Fund'!#REF!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2?">#REF!</definedName>
    <definedName name="XDO_?NAMCNAME?3?">#REF!</definedName>
    <definedName name="XDO_?NAMCNAME?35?">SMAAF!$C$2:$C$59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[1]SBINICIF!#REF!</definedName>
    <definedName name="XDO_?NDATE?131?">'[1]SBI Quant Fund'!#REF!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[1]SBINICIF!#REF!</definedName>
    <definedName name="XDO_?NNPTF?131?">'[1]SBI Quant Fund'!#REF!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62?">SMAAF!$B$10:$B$59</definedName>
    <definedName name="XDO_?NOVAL?163?">SMAAF!$B$10:$B$67</definedName>
    <definedName name="XDO_?NOVAL?164?">SMAAF!$B$10:$B$72</definedName>
    <definedName name="XDO_?NOVAL?165?">SMAAF!$B$10:$B$108</definedName>
    <definedName name="XDO_?NOVAL?166?">SMAAF!$B$10:$B$118</definedName>
    <definedName name="XDO_?NOVAL?167?">SMAAF!$B$10:$B$127</definedName>
    <definedName name="XDO_?NOVAL?168?">SMAAF!$B$10:$B$140</definedName>
    <definedName name="XDO_?NOVAL?169?">SMAAF!$B$10:$B$152</definedName>
    <definedName name="XDO_?NOVAL?170?">SMAAF!$B$10:$B$157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49?">#REF!</definedName>
    <definedName name="XDO_?NOVAL?5?">#REF!</definedName>
    <definedName name="XDO_?NOVAL?50?">#REF!</definedName>
    <definedName name="XDO_?NOVAL?569?">#REF!</definedName>
    <definedName name="XDO_?NOVAL?570?">#REF!</definedName>
    <definedName name="XDO_?NOVAL?571?">#REF!</definedName>
    <definedName name="XDO_?NOVAL?572?">#REF!</definedName>
    <definedName name="XDO_?NOVAL?573?">#REF!</definedName>
    <definedName name="XDO_?NOVAL?574?">#REF!</definedName>
    <definedName name="XDO_?NOVAL?575?">#REF!</definedName>
    <definedName name="XDO_?NOVAL?576?">#REF!</definedName>
    <definedName name="XDO_?NOVAL?577?">#REF!</definedName>
    <definedName name="XDO_?NOVAL?578?">#REF!</definedName>
    <definedName name="XDO_?NOVAL?579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2?">#REF!</definedName>
    <definedName name="XDO_?NPTF?3?">#REF!</definedName>
    <definedName name="XDO_?NPTF?35?">SMAAF!$D$2:$D$59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62?">SMAAF!$E$10:$E$59</definedName>
    <definedName name="XDO_?RATING?163?">SMAAF!$E$10:$E$67</definedName>
    <definedName name="XDO_?RATING?164?">SMAAF!$E$10:$E$72</definedName>
    <definedName name="XDO_?RATING?165?">SMAAF!$E$10:$E$108</definedName>
    <definedName name="XDO_?RATING?166?">SMAAF!$E$10:$E$118</definedName>
    <definedName name="XDO_?RATING?167?">SMAAF!$E$10:$E$127</definedName>
    <definedName name="XDO_?RATING?168?">SMAAF!$E$10:$E$140</definedName>
    <definedName name="XDO_?RATING?169?">SMAAF!$E$10:$E$152</definedName>
    <definedName name="XDO_?RATING?170?">SMAAF!$E$10:$E$157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49?">#REF!</definedName>
    <definedName name="XDO_?RATING?5?">#REF!</definedName>
    <definedName name="XDO_?RATING?50?">#REF!</definedName>
    <definedName name="XDO_?RATING?569?">#REF!</definedName>
    <definedName name="XDO_?RATING?570?">#REF!</definedName>
    <definedName name="XDO_?RATING?571?">#REF!</definedName>
    <definedName name="XDO_?RATING?572?">#REF!</definedName>
    <definedName name="XDO_?RATING?573?">#REF!</definedName>
    <definedName name="XDO_?RATING?574?">#REF!</definedName>
    <definedName name="XDO_?RATING?575?">#REF!</definedName>
    <definedName name="XDO_?RATING?576?">#REF!</definedName>
    <definedName name="XDO_?RATING?577?">#REF!</definedName>
    <definedName name="XDO_?RATING?578?">#REF!</definedName>
    <definedName name="XDO_?RATING?579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62?">SMAAF!$K$10:$K$59</definedName>
    <definedName name="XDO_?REMARKS?163?">SMAAF!$K$10:$K$67</definedName>
    <definedName name="XDO_?REMARKS?164?">SMAAF!$K$10:$K$72</definedName>
    <definedName name="XDO_?REMARKS?165?">SMAAF!$K$10:$K$108</definedName>
    <definedName name="XDO_?REMARKS?166?">SMAAF!$K$10:$K$118</definedName>
    <definedName name="XDO_?REMARKS?167?">SMAAF!$K$10:$K$127</definedName>
    <definedName name="XDO_?REMARKS?168?">SMAAF!$K$10:$K$140</definedName>
    <definedName name="XDO_?REMARKS?169?">SMAAF!$K$10:$K$152</definedName>
    <definedName name="XDO_?REMARKS?170?">SMAAF!$K$10:$K$157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49?">#REF!</definedName>
    <definedName name="XDO_?REMARKS?5?">#REF!</definedName>
    <definedName name="XDO_?REMARKS?50?">#REF!</definedName>
    <definedName name="XDO_?REMARKS?569?">#REF!</definedName>
    <definedName name="XDO_?REMARKS?570?">#REF!</definedName>
    <definedName name="XDO_?REMARKS?571?">#REF!</definedName>
    <definedName name="XDO_?REMARKS?572?">#REF!</definedName>
    <definedName name="XDO_?REMARKS?573?">#REF!</definedName>
    <definedName name="XDO_?REMARKS?574?">#REF!</definedName>
    <definedName name="XDO_?REMARKS?575?">#REF!</definedName>
    <definedName name="XDO_?REMARKS?576?">#REF!</definedName>
    <definedName name="XDO_?REMARKS?577?">#REF!</definedName>
    <definedName name="XDO_?REMARKS?578?">#REF!</definedName>
    <definedName name="XDO_?REMARKS?579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2?">#REF!</definedName>
    <definedName name="XDO_?TITL?3?">#REF!</definedName>
    <definedName name="XDO_?TITL?35?">SMAAF!$A$8:$A$59</definedName>
    <definedName name="XDO_?TITL?4?">#REF!</definedName>
    <definedName name="XDO_?TITL?7?">#REF!</definedName>
    <definedName name="XDO_?TITL?8?">#REF!</definedName>
    <definedName name="XDO_?YTM?1?">#REF!</definedName>
    <definedName name="XDO_?YTM?162?">SMAAF!$I$10:$I$59</definedName>
    <definedName name="XDO_?YTM?163?">SMAAF!$I$10:$I$67</definedName>
    <definedName name="XDO_?YTM?164?">SMAAF!$I$10:$I$72</definedName>
    <definedName name="XDO_?YTM?165?">SMAAF!$I$10:$I$108</definedName>
    <definedName name="XDO_?YTM?166?">SMAAF!$I$10:$I$118</definedName>
    <definedName name="XDO_?YTM?167?">SMAAF!$I$10:$I$127</definedName>
    <definedName name="XDO_?YTM?168?">SMAAF!$I$10:$I$140</definedName>
    <definedName name="XDO_?YTM?169?">SMAAF!$I$10:$I$152</definedName>
    <definedName name="XDO_?YTM?170?">SMAAF!$I$10:$I$157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49?">#REF!</definedName>
    <definedName name="XDO_?YTM?5?">#REF!</definedName>
    <definedName name="XDO_?YTM?50?">#REF!</definedName>
    <definedName name="XDO_?YTM?569?">#REF!</definedName>
    <definedName name="XDO_?YTM?570?">#REF!</definedName>
    <definedName name="XDO_?YTM?571?">#REF!</definedName>
    <definedName name="XDO_?YTM?572?">#REF!</definedName>
    <definedName name="XDO_?YTM?573?">#REF!</definedName>
    <definedName name="XDO_?YTM?574?">#REF!</definedName>
    <definedName name="XDO_?YTM?575?">#REF!</definedName>
    <definedName name="XDO_?YTM?576?">#REF!</definedName>
    <definedName name="XDO_?YTM?577?">#REF!</definedName>
    <definedName name="XDO_?YTM?578?">#REF!</definedName>
    <definedName name="XDO_?YTM?579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2?">#REF!</definedName>
    <definedName name="XDO_GROUP_?G_2?3?">#REF!</definedName>
    <definedName name="XDO_GROUP_?G_2?35?">SMAAF!$2:$160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2?">#REF!</definedName>
    <definedName name="XDO_GROUP_?G_3?3?">#REF!</definedName>
    <definedName name="XDO_GROUP_?G_3?35?">SMAAF!$8:$159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62?">SMAAF!$B$10:$IV$59</definedName>
    <definedName name="XDO_GROUP_?G_4?163?">SMAAF!$B$67:$IV$67</definedName>
    <definedName name="XDO_GROUP_?G_4?164?">SMAAF!$B$71:$IV$72</definedName>
    <definedName name="XDO_GROUP_?G_4?165?">SMAAF!$B$81:$IV$108</definedName>
    <definedName name="XDO_GROUP_?G_4?166?">SMAAF!$B$116:$IV$118</definedName>
    <definedName name="XDO_GROUP_?G_4?167?">SMAAF!$B$127:$IV$127</definedName>
    <definedName name="XDO_GROUP_?G_4?168?">SMAAF!$B$138:$IV$140</definedName>
    <definedName name="XDO_GROUP_?G_4?169?">SMAAF!$B$152:$IV$152</definedName>
    <definedName name="XDO_GROUP_?G_4?170?">SMAAF!$B$157:$IV$157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1?">#REF!</definedName>
    <definedName name="XDO_GROUP_?G_4?42?">#REF!</definedName>
    <definedName name="XDO_GROUP_?G_4?49?">#REF!</definedName>
    <definedName name="XDO_GROUP_?G_4?5?">#REF!</definedName>
    <definedName name="XDO_GROUP_?G_4?50?">#REF!</definedName>
    <definedName name="XDO_GROUP_?G_4?548?">'[1]SBI Silver ETF'!#REF!</definedName>
    <definedName name="XDO_GROUP_?G_4?569?">#REF!</definedName>
    <definedName name="XDO_GROUP_?G_4?570?">#REF!</definedName>
    <definedName name="XDO_GROUP_?G_4?571?">#REF!</definedName>
    <definedName name="XDO_GROUP_?G_4?572?">#REF!</definedName>
    <definedName name="XDO_GROUP_?G_4?573?">#REF!</definedName>
    <definedName name="XDO_GROUP_?G_4?574?">#REF!</definedName>
    <definedName name="XDO_GROUP_?G_4?575?">#REF!</definedName>
    <definedName name="XDO_GROUP_?G_4?576?">#REF!</definedName>
    <definedName name="XDO_GROUP_?G_4?577?">#REF!</definedName>
    <definedName name="XDO_GROUP_?G_4?578?">#REF!</definedName>
    <definedName name="XDO_GROUP_?G_4?579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6?">#REF!</definedName>
    <definedName name="XDO_GROUP_?G_4?7?">#REF!</definedName>
    <definedName name="XDO_GROUP_?G_4?8?">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  <c r="G60" i="1"/>
</calcChain>
</file>

<file path=xl/sharedStrings.xml><?xml version="1.0" encoding="utf-8"?>
<sst xmlns="http://schemas.openxmlformats.org/spreadsheetml/2006/main" count="478" uniqueCount="362">
  <si>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</si>
  <si>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</si>
  <si>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</si>
  <si>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</si>
  <si>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</si>
  <si>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</si>
  <si>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</si>
  <si>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</si>
  <si>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</si>
  <si>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</si>
  <si>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</si>
  <si>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</si>
  <si>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</si>
  <si>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</si>
  <si>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</si>
  <si>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</si>
  <si>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</si>
  <si>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</si>
  <si>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</si>
  <si>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</si>
  <si>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</si>
  <si>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</si>
  <si>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</si>
  <si>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</si>
  <si>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</si>
  <si>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100675</t>
  </si>
  <si>
    <t>VRL Logistics Ltd.</t>
  </si>
  <si>
    <t>INE366I01010</t>
  </si>
  <si>
    <t>Transport Services</t>
  </si>
  <si>
    <t>100011</t>
  </si>
  <si>
    <t>Wipro Ltd.</t>
  </si>
  <si>
    <t>INE075A01022</t>
  </si>
  <si>
    <t>IT - Software</t>
  </si>
  <si>
    <t>100176</t>
  </si>
  <si>
    <t>GAIL (India) Ltd.</t>
  </si>
  <si>
    <t>INE129A01019</t>
  </si>
  <si>
    <t>Gas</t>
  </si>
  <si>
    <t>100037</t>
  </si>
  <si>
    <t>HCL Technologies Ltd.</t>
  </si>
  <si>
    <t>INE860A01027</t>
  </si>
  <si>
    <t>100043</t>
  </si>
  <si>
    <t>ZF Commercial Vehicle Control Systems India Ltd.</t>
  </si>
  <si>
    <t>INE342J01019</t>
  </si>
  <si>
    <t>Auto Components</t>
  </si>
  <si>
    <t>100010</t>
  </si>
  <si>
    <t>State Bank of India</t>
  </si>
  <si>
    <t>INE062A01020</t>
  </si>
  <si>
    <t>100447</t>
  </si>
  <si>
    <t>LTIMindtree Ltd.</t>
  </si>
  <si>
    <t>INE214T01019</t>
  </si>
  <si>
    <t>100085</t>
  </si>
  <si>
    <t>Ashoka Buildcon Ltd.</t>
  </si>
  <si>
    <t>INE442H01029</t>
  </si>
  <si>
    <t>Construction</t>
  </si>
  <si>
    <t>100259</t>
  </si>
  <si>
    <t>Kalpataru Projects International Ltd.</t>
  </si>
  <si>
    <t>INE220B01022</t>
  </si>
  <si>
    <t>100003</t>
  </si>
  <si>
    <t>Infosys Ltd.</t>
  </si>
  <si>
    <t>INE009A01021</t>
  </si>
  <si>
    <t>100257</t>
  </si>
  <si>
    <t>Whirlpool of India Ltd.</t>
  </si>
  <si>
    <t>INE716A01013</t>
  </si>
  <si>
    <t>Consumer Durables</t>
  </si>
  <si>
    <t>100505</t>
  </si>
  <si>
    <t>ICICI Prudential Life Insurance Company Ltd.</t>
  </si>
  <si>
    <t>INE726G01019</t>
  </si>
  <si>
    <t>Insurance</t>
  </si>
  <si>
    <t>100536</t>
  </si>
  <si>
    <t>VIP Industries Ltd.</t>
  </si>
  <si>
    <t>INE054A01027</t>
  </si>
  <si>
    <t>100292</t>
  </si>
  <si>
    <t>Steel Authority of India Ltd.</t>
  </si>
  <si>
    <t>INE114A01011</t>
  </si>
  <si>
    <t>Ferrous Metals</t>
  </si>
  <si>
    <t>100694</t>
  </si>
  <si>
    <t>Indian Energy Exchange Ltd.</t>
  </si>
  <si>
    <t>INE022Q01020</t>
  </si>
  <si>
    <t>Capital Markets</t>
  </si>
  <si>
    <t>102005</t>
  </si>
  <si>
    <t>Tata Technologies Ltd.</t>
  </si>
  <si>
    <t>INE142M01025</t>
  </si>
  <si>
    <t>IT - Services</t>
  </si>
  <si>
    <t>100047</t>
  </si>
  <si>
    <t>Emami Ltd.</t>
  </si>
  <si>
    <t>INE548C01032</t>
  </si>
  <si>
    <t>Personal Products</t>
  </si>
  <si>
    <t>100111</t>
  </si>
  <si>
    <t>Oil &amp; Natural Gas Corporation Ltd.</t>
  </si>
  <si>
    <t>INE213A01029</t>
  </si>
  <si>
    <t>Oil</t>
  </si>
  <si>
    <t>100374</t>
  </si>
  <si>
    <t>CESC Ltd.</t>
  </si>
  <si>
    <t>INE486A01021</t>
  </si>
  <si>
    <t>Power</t>
  </si>
  <si>
    <t>100771</t>
  </si>
  <si>
    <t>Bandhan Bank Ltd.</t>
  </si>
  <si>
    <t>INE545U01014</t>
  </si>
  <si>
    <t>101378</t>
  </si>
  <si>
    <t>FSN E-Commerce Ventures Ltd.</t>
  </si>
  <si>
    <t>INE388Y01029</t>
  </si>
  <si>
    <t>Retailing</t>
  </si>
  <si>
    <t>101207</t>
  </si>
  <si>
    <t>Restaurant Brands Asia Ltd.</t>
  </si>
  <si>
    <t>INE07T201019</t>
  </si>
  <si>
    <t>Leisure Services</t>
  </si>
  <si>
    <t>100550</t>
  </si>
  <si>
    <t>Sagar Cements Ltd.</t>
  </si>
  <si>
    <t>INE229C01021</t>
  </si>
  <si>
    <t>Cement &amp; Cement Products</t>
  </si>
  <si>
    <t>101370</t>
  </si>
  <si>
    <t>Gokaldas Exports Ltd.</t>
  </si>
  <si>
    <t>INE887G01027</t>
  </si>
  <si>
    <t>Textiles &amp; Apparels</t>
  </si>
  <si>
    <t>100227</t>
  </si>
  <si>
    <t>Jubilant Foodworks Ltd.</t>
  </si>
  <si>
    <t>INE797F01020</t>
  </si>
  <si>
    <t>101550</t>
  </si>
  <si>
    <t>Life Insurance Corporation of India</t>
  </si>
  <si>
    <t>INE0J1Y01017</t>
  </si>
  <si>
    <t>100112</t>
  </si>
  <si>
    <t>Punjab National Bank</t>
  </si>
  <si>
    <t>INE160A01022</t>
  </si>
  <si>
    <t>100012</t>
  </si>
  <si>
    <t>ICICI Bank Ltd.</t>
  </si>
  <si>
    <t>INE090A01021</t>
  </si>
  <si>
    <t>100033</t>
  </si>
  <si>
    <t>Indian Bank</t>
  </si>
  <si>
    <t>INE562A01011</t>
  </si>
  <si>
    <t>100224</t>
  </si>
  <si>
    <t>Mahindra Lifespace Developers Ltd.</t>
  </si>
  <si>
    <t>INE813A01018</t>
  </si>
  <si>
    <t>Realty</t>
  </si>
  <si>
    <t>100256</t>
  </si>
  <si>
    <t>City Union Bank Ltd.</t>
  </si>
  <si>
    <t>INE491A01021</t>
  </si>
  <si>
    <t>100126</t>
  </si>
  <si>
    <t>Britannia Industries Ltd.</t>
  </si>
  <si>
    <t>INE216A01030</t>
  </si>
  <si>
    <t>Food Products</t>
  </si>
  <si>
    <t>100566</t>
  </si>
  <si>
    <t>Laurus Labs Ltd.</t>
  </si>
  <si>
    <t>INE947Q01028</t>
  </si>
  <si>
    <t>Pharmaceuticals &amp; Biotechnology</t>
  </si>
  <si>
    <t>100768</t>
  </si>
  <si>
    <t>V-Mart Retail Ltd.</t>
  </si>
  <si>
    <t>INE665J01013</t>
  </si>
  <si>
    <t>100223</t>
  </si>
  <si>
    <t>United Spirits Ltd.</t>
  </si>
  <si>
    <t>INE854D01024</t>
  </si>
  <si>
    <t>Beverages</t>
  </si>
  <si>
    <t>100723</t>
  </si>
  <si>
    <t>Ashiana Housing Ltd.</t>
  </si>
  <si>
    <t>INE365D01021</t>
  </si>
  <si>
    <t>100147</t>
  </si>
  <si>
    <t>Tech Mahindra Ltd.</t>
  </si>
  <si>
    <t>INE669C01036</t>
  </si>
  <si>
    <t>100743</t>
  </si>
  <si>
    <t>HeidelbergCement India Ltd.</t>
  </si>
  <si>
    <t>INE578A01017</t>
  </si>
  <si>
    <t>101200</t>
  </si>
  <si>
    <t>Gland Pharma Ltd.</t>
  </si>
  <si>
    <t>INE068V01023</t>
  </si>
  <si>
    <t>100095</t>
  </si>
  <si>
    <t>Bharti Airtel Ltd.</t>
  </si>
  <si>
    <t>INE397D01024</t>
  </si>
  <si>
    <t>Telecom - Services</t>
  </si>
  <si>
    <t>100814</t>
  </si>
  <si>
    <t>HDFC Asset Management Co. Ltd.</t>
  </si>
  <si>
    <t>INE127D01025</t>
  </si>
  <si>
    <t>101469</t>
  </si>
  <si>
    <t>Equitas Small Finance Bank Ltd.</t>
  </si>
  <si>
    <t>INE063P01018</t>
  </si>
  <si>
    <t>100370</t>
  </si>
  <si>
    <t>Biocon Ltd.</t>
  </si>
  <si>
    <t>INE376G01013</t>
  </si>
  <si>
    <t>100165</t>
  </si>
  <si>
    <t>Rallis India Ltd.</t>
  </si>
  <si>
    <t>INE613A01020</t>
  </si>
  <si>
    <t>Fertilizers &amp; Agrochemicals</t>
  </si>
  <si>
    <t>101801</t>
  </si>
  <si>
    <t>Elin Electronics Ltd.</t>
  </si>
  <si>
    <t>INE050401020</t>
  </si>
  <si>
    <t>100024</t>
  </si>
  <si>
    <t>Axis Bank Ltd.</t>
  </si>
  <si>
    <t>INE238A01034</t>
  </si>
  <si>
    <t>100138</t>
  </si>
  <si>
    <t>PVR Inox Ltd.</t>
  </si>
  <si>
    <t>INE191H01014</t>
  </si>
  <si>
    <t>Entertainment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</si>
  <si>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</si>
  <si>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</si>
  <si>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</si>
  <si>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</si>
  <si>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</si>
  <si>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</si>
  <si>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</si>
  <si>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</si>
  <si>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</si>
  <si>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</si>
  <si>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</si>
  <si>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</si>
  <si>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e)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</si>
  <si>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</si>
  <si>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</si>
  <si>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</si>
  <si>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</si>
  <si>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</si>
  <si>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</si>
  <si>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f) Compulsory Convertible Debentures</t>
  </si>
  <si>
    <t>6200001</t>
  </si>
  <si>
    <t>Cholamandalam Investment &amp; Finance Co. Ltd.</t>
  </si>
  <si>
    <t>INE121A08PJ0</t>
  </si>
  <si>
    <t>Finance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</si>
  <si>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</si>
  <si>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</si>
  <si>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</si>
  <si>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</si>
  <si>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</si>
  <si>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</si>
  <si>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AA+</t>
  </si>
  <si>
    <t>704927</t>
  </si>
  <si>
    <t>Tata Power Renewable Energy Ltd. (Guaranteed by Tata Power Ltd.)</t>
  </si>
  <si>
    <t>INE607M08105</t>
  </si>
  <si>
    <t>[ICRA]AA+</t>
  </si>
  <si>
    <t>704936</t>
  </si>
  <si>
    <t>Aditya Birla Renewables Ltd.</t>
  </si>
  <si>
    <t>INE01QP08016</t>
  </si>
  <si>
    <t>CRISIL AA</t>
  </si>
  <si>
    <t>704821</t>
  </si>
  <si>
    <t>Infopark Properties Ltd.</t>
  </si>
  <si>
    <t>INE0KZX07023</t>
  </si>
  <si>
    <t>CARE AA-</t>
  </si>
  <si>
    <t>704942</t>
  </si>
  <si>
    <t>Avanse Financial Services Ltd.</t>
  </si>
  <si>
    <t>INE087P07402</t>
  </si>
  <si>
    <t>704858</t>
  </si>
  <si>
    <t>SBFC Finance Ltd.</t>
  </si>
  <si>
    <t>INE423Y07112</t>
  </si>
  <si>
    <t>IND AA-</t>
  </si>
  <si>
    <t>705002</t>
  </si>
  <si>
    <t>Bank of Baroda( Tier II Bond under Basel III )</t>
  </si>
  <si>
    <t>INE028A08364</t>
  </si>
  <si>
    <t>CRISIL AAA</t>
  </si>
  <si>
    <t>705031</t>
  </si>
  <si>
    <t>Godrej Industries Ltd.</t>
  </si>
  <si>
    <t>INE233A08154</t>
  </si>
  <si>
    <t>704854</t>
  </si>
  <si>
    <t>Bajaj Housing Finance Ltd.</t>
  </si>
  <si>
    <t>INE377Y07508</t>
  </si>
  <si>
    <t>704738</t>
  </si>
  <si>
    <t>Renserv Global Pvt Ltd.</t>
  </si>
  <si>
    <t>INE0AY207053</t>
  </si>
  <si>
    <t>CARE A+(CE)</t>
  </si>
  <si>
    <t>702399</t>
  </si>
  <si>
    <t>Canara Bank( Tier II Bond under Basel III )</t>
  </si>
  <si>
    <t>INE476A08076</t>
  </si>
  <si>
    <t>IND AAA</t>
  </si>
  <si>
    <t>704778</t>
  </si>
  <si>
    <t>INE121A07SB3</t>
  </si>
  <si>
    <t>704589</t>
  </si>
  <si>
    <t>Tata Projects Ltd.</t>
  </si>
  <si>
    <t>INE725H08162</t>
  </si>
  <si>
    <t>IND AA</t>
  </si>
  <si>
    <t>704592</t>
  </si>
  <si>
    <t>Muthoot Finance Ltd.</t>
  </si>
  <si>
    <t>INE414G07IR6</t>
  </si>
  <si>
    <t>704671</t>
  </si>
  <si>
    <t>JM Financial Credit Solutions Ltd.</t>
  </si>
  <si>
    <t>INE651J07978</t>
  </si>
  <si>
    <t>[ICRA]AA</t>
  </si>
  <si>
    <t>704639</t>
  </si>
  <si>
    <t>Mahindra Rural Housing Finance Ltd.</t>
  </si>
  <si>
    <t>INE950O07438</t>
  </si>
  <si>
    <t>704484</t>
  </si>
  <si>
    <t>JM Financial Asset Reconstruction Company Ltd.</t>
  </si>
  <si>
    <t>INE265J07555</t>
  </si>
  <si>
    <t>CRISIL AA-</t>
  </si>
  <si>
    <t>704631</t>
  </si>
  <si>
    <t>SMFG India Home Finance Co. Ltd.</t>
  </si>
  <si>
    <t>INE213W07277</t>
  </si>
  <si>
    <t>704546</t>
  </si>
  <si>
    <t>JM Financial Services Ltd.</t>
  </si>
  <si>
    <t>INE012I07066</t>
  </si>
  <si>
    <t>704655</t>
  </si>
  <si>
    <t>Indostar Capital Finance Ltd.</t>
  </si>
  <si>
    <t>INE896L07942</t>
  </si>
  <si>
    <t>704850</t>
  </si>
  <si>
    <t>Sundaram Finance Ltd.</t>
  </si>
  <si>
    <t>INE660A08CI7</t>
  </si>
  <si>
    <t>704693</t>
  </si>
  <si>
    <t>INE950O07446</t>
  </si>
  <si>
    <t>704296</t>
  </si>
  <si>
    <t>INE087P07337</t>
  </si>
  <si>
    <t>703394</t>
  </si>
  <si>
    <t>L&amp;T Metro Rail (Hyderabad) Ltd. [Guaranteed by Larsen &amp; Toubro Ltd.]</t>
  </si>
  <si>
    <t>INE128M08060</t>
  </si>
  <si>
    <t>CRISIL AAA(CE)</t>
  </si>
  <si>
    <t>704443</t>
  </si>
  <si>
    <t>INE012I07041</t>
  </si>
  <si>
    <t>704291</t>
  </si>
  <si>
    <t>Aadhar Housing Finance Ltd.</t>
  </si>
  <si>
    <t>INE883F07306</t>
  </si>
  <si>
    <t>703923</t>
  </si>
  <si>
    <t>INE403D08132</t>
  </si>
  <si>
    <t>704114</t>
  </si>
  <si>
    <t>INE414G07HK3</t>
  </si>
  <si>
    <t>b) Privately Placed/Unlisted</t>
  </si>
  <si>
    <t>c) Securitised Debt Instruments</t>
  </si>
  <si>
    <t>d) Central Government Securities</t>
  </si>
  <si>
    <t>900294</t>
  </si>
  <si>
    <t>7.30% CGL 2053</t>
  </si>
  <si>
    <t>IN0020230051</t>
  </si>
  <si>
    <t>Sovereign</t>
  </si>
  <si>
    <t>1905304</t>
  </si>
  <si>
    <t>7.10% CGL 2034</t>
  </si>
  <si>
    <t>IN0020240019</t>
  </si>
  <si>
    <t>900290</t>
  </si>
  <si>
    <t>7.06% CGL 2028</t>
  </si>
  <si>
    <t>IN0020230010</t>
  </si>
  <si>
    <t>e) State Government Securities</t>
  </si>
  <si>
    <t>MONEY MARKET INSTRUMENTS</t>
  </si>
  <si>
    <t>a) Commercial Paper</t>
  </si>
  <si>
    <t>b) Certificate of Deposits</t>
  </si>
  <si>
    <t>1102829</t>
  </si>
  <si>
    <t>Canara Bank</t>
  </si>
  <si>
    <t>INE476A16ZW3</t>
  </si>
  <si>
    <t>CRISIL A1+</t>
  </si>
  <si>
    <t>c) Treasury Bills</t>
  </si>
  <si>
    <t>d) Bills Re- Discounting</t>
  </si>
  <si>
    <t>e) STRIPS</t>
  </si>
  <si>
    <t>OTHERS</t>
  </si>
  <si>
    <t>a) Mutual Fund Units / Exchange Traded Funds</t>
  </si>
  <si>
    <t>417210</t>
  </si>
  <si>
    <t>SBI Gold ETF</t>
  </si>
  <si>
    <t>INF200KA16D8</t>
  </si>
  <si>
    <t>2800001</t>
  </si>
  <si>
    <t>Nippon India Silver ETF</t>
  </si>
  <si>
    <t>INF204KC1402</t>
  </si>
  <si>
    <t>2800002</t>
  </si>
  <si>
    <t>SBI Silver ETF</t>
  </si>
  <si>
    <t>INF200KB1217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</si>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</sst>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1EB03928-B52A-42D0-850F-ADE3EFD750AD}"/>
    <cellStyle name="Style 1" xfId="3" xr:uid="{EB9276B3-0F3C-4125-B274-280F146F34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2608633</xdr:colOff>
      <xdr:row>178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092CB6-FFE9-4081-941D-2D60BCDF8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19151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5</xdr:col>
      <xdr:colOff>989978</xdr:colOff>
      <xdr:row>178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B027C6-DC70-4DD0-9CB7-65396D3E4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31915100"/>
          <a:ext cx="264732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cember%202024\All%20Schemes%20Monthly%20Portfolio%20-%20as%20on%2031st%20December%202024.xlsx" TargetMode="External"/><Relationship Id="rId1" Type="http://schemas.openxmlformats.org/officeDocument/2006/relationships/externalLinkPath" Target="All%20Schemes%20Monthly%20Portfolio%20-%20as%20on%2031st%20Dec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  <sheetName val="SBI Quant Fund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422944.5</v>
          </cell>
          <cell r="H10">
            <v>5.9</v>
          </cell>
        </row>
        <row r="11">
          <cell r="G11">
            <v>396937.5</v>
          </cell>
          <cell r="H11">
            <v>5.54</v>
          </cell>
        </row>
        <row r="12">
          <cell r="G12">
            <v>304940</v>
          </cell>
          <cell r="H12">
            <v>4.26</v>
          </cell>
        </row>
        <row r="13">
          <cell r="G13">
            <v>301384.5</v>
          </cell>
          <cell r="H13">
            <v>4.21</v>
          </cell>
        </row>
        <row r="14">
          <cell r="G14">
            <v>282000</v>
          </cell>
          <cell r="H14">
            <v>3.94</v>
          </cell>
        </row>
        <row r="15">
          <cell r="G15">
            <v>262333.5</v>
          </cell>
          <cell r="H15">
            <v>3.66</v>
          </cell>
        </row>
        <row r="16">
          <cell r="G16">
            <v>260292.6</v>
          </cell>
          <cell r="H16">
            <v>3.63</v>
          </cell>
        </row>
        <row r="17">
          <cell r="G17">
            <v>251146.41</v>
          </cell>
          <cell r="H17">
            <v>3.51</v>
          </cell>
        </row>
        <row r="18">
          <cell r="G18">
            <v>243090</v>
          </cell>
          <cell r="H18">
            <v>3.39</v>
          </cell>
        </row>
        <row r="19">
          <cell r="G19">
            <v>222079.25</v>
          </cell>
          <cell r="H19">
            <v>3.1</v>
          </cell>
        </row>
        <row r="20">
          <cell r="G20">
            <v>213615</v>
          </cell>
          <cell r="H20">
            <v>2.98</v>
          </cell>
        </row>
        <row r="21">
          <cell r="G21">
            <v>211513</v>
          </cell>
          <cell r="H21">
            <v>2.95</v>
          </cell>
        </row>
        <row r="22">
          <cell r="G22">
            <v>202984.18</v>
          </cell>
          <cell r="H22">
            <v>2.83</v>
          </cell>
        </row>
        <row r="23">
          <cell r="G23">
            <v>180382.5</v>
          </cell>
          <cell r="H23">
            <v>2.52</v>
          </cell>
        </row>
        <row r="24">
          <cell r="G24">
            <v>150612.5</v>
          </cell>
          <cell r="H24">
            <v>2.1</v>
          </cell>
        </row>
        <row r="25">
          <cell r="G25">
            <v>135128.4</v>
          </cell>
          <cell r="H25">
            <v>1.89</v>
          </cell>
        </row>
        <row r="26">
          <cell r="G26">
            <v>125023.5</v>
          </cell>
          <cell r="H26">
            <v>1.75</v>
          </cell>
        </row>
        <row r="27">
          <cell r="G27">
            <v>107653.67</v>
          </cell>
          <cell r="H27">
            <v>1.5</v>
          </cell>
        </row>
        <row r="28">
          <cell r="G28">
            <v>104567.61</v>
          </cell>
          <cell r="H28">
            <v>1.46</v>
          </cell>
        </row>
        <row r="29">
          <cell r="G29">
            <v>97770.93</v>
          </cell>
          <cell r="H29">
            <v>1.36</v>
          </cell>
        </row>
        <row r="30">
          <cell r="G30">
            <v>89123.85</v>
          </cell>
          <cell r="H30">
            <v>1.24</v>
          </cell>
        </row>
        <row r="31">
          <cell r="G31">
            <v>78661</v>
          </cell>
          <cell r="H31">
            <v>1.1000000000000001</v>
          </cell>
        </row>
        <row r="32">
          <cell r="G32">
            <v>64482.5</v>
          </cell>
          <cell r="H32">
            <v>0.9</v>
          </cell>
        </row>
        <row r="33">
          <cell r="G33">
            <v>63270.2</v>
          </cell>
          <cell r="H33">
            <v>0.88</v>
          </cell>
        </row>
        <row r="34">
          <cell r="G34">
            <v>61018.65</v>
          </cell>
          <cell r="H34">
            <v>0.85</v>
          </cell>
        </row>
        <row r="35">
          <cell r="G35">
            <v>60776.99</v>
          </cell>
          <cell r="H35">
            <v>0.85</v>
          </cell>
        </row>
        <row r="36">
          <cell r="G36">
            <v>60538.57</v>
          </cell>
          <cell r="H36">
            <v>0.85</v>
          </cell>
        </row>
        <row r="37">
          <cell r="G37">
            <v>58845.5</v>
          </cell>
          <cell r="H37">
            <v>0.82</v>
          </cell>
        </row>
        <row r="38">
          <cell r="G38">
            <v>58106</v>
          </cell>
          <cell r="H38">
            <v>0.81</v>
          </cell>
        </row>
        <row r="39">
          <cell r="G39">
            <v>47744.89</v>
          </cell>
          <cell r="H39">
            <v>0.67</v>
          </cell>
        </row>
        <row r="40">
          <cell r="G40">
            <v>34879.82</v>
          </cell>
          <cell r="H40">
            <v>0.49</v>
          </cell>
        </row>
        <row r="41">
          <cell r="G41">
            <v>32461.5</v>
          </cell>
          <cell r="H41">
            <v>0.45</v>
          </cell>
        </row>
        <row r="42">
          <cell r="G42">
            <v>23024.26</v>
          </cell>
          <cell r="H42">
            <v>0.32</v>
          </cell>
        </row>
        <row r="43">
          <cell r="G43">
            <v>21273.21</v>
          </cell>
          <cell r="H43">
            <v>0.3</v>
          </cell>
        </row>
        <row r="44">
          <cell r="G44">
            <v>16493.810000000001</v>
          </cell>
          <cell r="H44">
            <v>0.23</v>
          </cell>
        </row>
        <row r="45">
          <cell r="G45">
            <v>15710.73</v>
          </cell>
          <cell r="H45">
            <v>0.22</v>
          </cell>
        </row>
        <row r="46">
          <cell r="G46">
            <v>2126.73</v>
          </cell>
          <cell r="H46">
            <v>0.03</v>
          </cell>
        </row>
        <row r="47">
          <cell r="G47">
            <v>1874.79</v>
          </cell>
          <cell r="H47">
            <v>0.03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200158</v>
          </cell>
          <cell r="H10">
            <v>5.77</v>
          </cell>
        </row>
        <row r="11">
          <cell r="G11">
            <v>192253.5</v>
          </cell>
          <cell r="H11">
            <v>5.54</v>
          </cell>
        </row>
        <row r="12">
          <cell r="G12">
            <v>182838.5</v>
          </cell>
          <cell r="H12">
            <v>5.27</v>
          </cell>
        </row>
        <row r="13">
          <cell r="G13">
            <v>164667.6</v>
          </cell>
          <cell r="H13">
            <v>4.75</v>
          </cell>
        </row>
        <row r="14">
          <cell r="G14">
            <v>163008.70000000001</v>
          </cell>
          <cell r="H14">
            <v>4.7</v>
          </cell>
        </row>
        <row r="15">
          <cell r="G15">
            <v>159556.5</v>
          </cell>
          <cell r="H15">
            <v>4.5999999999999996</v>
          </cell>
        </row>
        <row r="16">
          <cell r="G16">
            <v>152516.35</v>
          </cell>
          <cell r="H16">
            <v>4.4000000000000004</v>
          </cell>
        </row>
        <row r="17">
          <cell r="G17">
            <v>143283</v>
          </cell>
          <cell r="H17">
            <v>4.13</v>
          </cell>
        </row>
        <row r="18">
          <cell r="G18">
            <v>141097.95000000001</v>
          </cell>
          <cell r="H18">
            <v>4.07</v>
          </cell>
        </row>
        <row r="19">
          <cell r="G19">
            <v>140097.59</v>
          </cell>
          <cell r="H19">
            <v>4.04</v>
          </cell>
        </row>
        <row r="20">
          <cell r="G20">
            <v>136966.20000000001</v>
          </cell>
          <cell r="H20">
            <v>3.95</v>
          </cell>
        </row>
        <row r="21">
          <cell r="G21">
            <v>113054.48</v>
          </cell>
          <cell r="H21">
            <v>3.26</v>
          </cell>
        </row>
        <row r="22">
          <cell r="G22">
            <v>110903.7</v>
          </cell>
          <cell r="H22">
            <v>3.2</v>
          </cell>
        </row>
        <row r="23">
          <cell r="G23">
            <v>107549.61</v>
          </cell>
          <cell r="H23">
            <v>3.1</v>
          </cell>
        </row>
        <row r="24">
          <cell r="G24">
            <v>90423</v>
          </cell>
          <cell r="H24">
            <v>2.61</v>
          </cell>
        </row>
        <row r="25">
          <cell r="G25">
            <v>90277.36</v>
          </cell>
          <cell r="H25">
            <v>2.6</v>
          </cell>
        </row>
        <row r="26">
          <cell r="G26">
            <v>89387.5</v>
          </cell>
          <cell r="H26">
            <v>2.58</v>
          </cell>
        </row>
        <row r="27">
          <cell r="G27">
            <v>84834.75</v>
          </cell>
          <cell r="H27">
            <v>2.4500000000000002</v>
          </cell>
        </row>
        <row r="28">
          <cell r="G28">
            <v>84307.65</v>
          </cell>
          <cell r="H28">
            <v>2.4300000000000002</v>
          </cell>
        </row>
        <row r="29">
          <cell r="G29">
            <v>74346.92</v>
          </cell>
          <cell r="H29">
            <v>2.14</v>
          </cell>
        </row>
        <row r="30">
          <cell r="G30">
            <v>71725.5</v>
          </cell>
          <cell r="H30">
            <v>2.0699999999999998</v>
          </cell>
        </row>
        <row r="31">
          <cell r="G31">
            <v>62000</v>
          </cell>
          <cell r="H31">
            <v>1.79</v>
          </cell>
        </row>
        <row r="32">
          <cell r="G32">
            <v>50669.53</v>
          </cell>
          <cell r="H32">
            <v>1.46</v>
          </cell>
        </row>
        <row r="33">
          <cell r="G33">
            <v>24650.53</v>
          </cell>
          <cell r="H33">
            <v>0.71</v>
          </cell>
        </row>
        <row r="34">
          <cell r="G34">
            <v>4269.0200000000004</v>
          </cell>
          <cell r="H34">
            <v>0.12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171640.72</v>
          </cell>
          <cell r="H10">
            <v>5.17</v>
          </cell>
        </row>
        <row r="11">
          <cell r="G11">
            <v>146887.64000000001</v>
          </cell>
          <cell r="H11">
            <v>4.42</v>
          </cell>
        </row>
        <row r="12">
          <cell r="G12">
            <v>107902.7</v>
          </cell>
          <cell r="H12">
            <v>3.25</v>
          </cell>
        </row>
        <row r="13">
          <cell r="G13">
            <v>99902.720000000001</v>
          </cell>
          <cell r="H13">
            <v>3.01</v>
          </cell>
        </row>
        <row r="14">
          <cell r="G14">
            <v>72546.23</v>
          </cell>
          <cell r="H14">
            <v>2.19</v>
          </cell>
        </row>
        <row r="15">
          <cell r="G15">
            <v>71726.720000000001</v>
          </cell>
          <cell r="H15">
            <v>2.16</v>
          </cell>
        </row>
        <row r="16">
          <cell r="G16">
            <v>71726.37</v>
          </cell>
          <cell r="H16">
            <v>2.16</v>
          </cell>
        </row>
        <row r="17">
          <cell r="G17">
            <v>66347.97</v>
          </cell>
          <cell r="H17">
            <v>2</v>
          </cell>
        </row>
        <row r="18">
          <cell r="G18">
            <v>65888.820000000007</v>
          </cell>
          <cell r="H18">
            <v>1.98</v>
          </cell>
        </row>
        <row r="19">
          <cell r="G19">
            <v>63216.2</v>
          </cell>
          <cell r="H19">
            <v>1.9</v>
          </cell>
        </row>
        <row r="20">
          <cell r="G20">
            <v>60778.67</v>
          </cell>
          <cell r="H20">
            <v>1.83</v>
          </cell>
        </row>
        <row r="21">
          <cell r="G21">
            <v>60075.38</v>
          </cell>
          <cell r="H21">
            <v>1.81</v>
          </cell>
        </row>
        <row r="22">
          <cell r="G22">
            <v>57500.65</v>
          </cell>
          <cell r="H22">
            <v>1.73</v>
          </cell>
        </row>
        <row r="23">
          <cell r="G23">
            <v>54245.07</v>
          </cell>
          <cell r="H23">
            <v>1.63</v>
          </cell>
        </row>
        <row r="24">
          <cell r="G24">
            <v>51302.5</v>
          </cell>
          <cell r="H24">
            <v>1.55</v>
          </cell>
        </row>
        <row r="25">
          <cell r="G25">
            <v>48686.01</v>
          </cell>
          <cell r="H25">
            <v>1.47</v>
          </cell>
        </row>
        <row r="26">
          <cell r="G26">
            <v>40235.74</v>
          </cell>
          <cell r="H26">
            <v>1.21</v>
          </cell>
        </row>
        <row r="27">
          <cell r="G27">
            <v>38718.92</v>
          </cell>
          <cell r="H27">
            <v>1.17</v>
          </cell>
        </row>
        <row r="28">
          <cell r="G28">
            <v>37925.1</v>
          </cell>
          <cell r="H28">
            <v>1.1399999999999999</v>
          </cell>
        </row>
        <row r="29">
          <cell r="G29">
            <v>36612.47</v>
          </cell>
          <cell r="H29">
            <v>1.1000000000000001</v>
          </cell>
        </row>
        <row r="30">
          <cell r="G30">
            <v>36518.99</v>
          </cell>
          <cell r="H30">
            <v>1.1000000000000001</v>
          </cell>
        </row>
        <row r="31">
          <cell r="G31">
            <v>34909.69</v>
          </cell>
          <cell r="H31">
            <v>1.05</v>
          </cell>
        </row>
        <row r="32">
          <cell r="G32">
            <v>34713.47</v>
          </cell>
          <cell r="H32">
            <v>1.05</v>
          </cell>
        </row>
        <row r="33">
          <cell r="G33">
            <v>32673.95</v>
          </cell>
          <cell r="H33">
            <v>0.98</v>
          </cell>
        </row>
        <row r="34">
          <cell r="G34">
            <v>28374.87</v>
          </cell>
          <cell r="H34">
            <v>0.85</v>
          </cell>
        </row>
        <row r="35">
          <cell r="G35">
            <v>28218.91</v>
          </cell>
          <cell r="H35">
            <v>0.85</v>
          </cell>
        </row>
        <row r="36">
          <cell r="G36">
            <v>28027.49</v>
          </cell>
          <cell r="H36">
            <v>0.84</v>
          </cell>
        </row>
        <row r="37">
          <cell r="G37">
            <v>27240.52</v>
          </cell>
          <cell r="H37">
            <v>0.82</v>
          </cell>
        </row>
        <row r="38">
          <cell r="G38">
            <v>27086.400000000001</v>
          </cell>
          <cell r="H38">
            <v>0.82</v>
          </cell>
        </row>
        <row r="39">
          <cell r="G39">
            <v>25306.67</v>
          </cell>
          <cell r="H39">
            <v>0.76</v>
          </cell>
        </row>
        <row r="40">
          <cell r="G40">
            <v>25283.55</v>
          </cell>
          <cell r="H40">
            <v>0.76</v>
          </cell>
        </row>
        <row r="41">
          <cell r="G41">
            <v>24963.21</v>
          </cell>
          <cell r="H41">
            <v>0.75</v>
          </cell>
        </row>
        <row r="42">
          <cell r="G42">
            <v>23170.23</v>
          </cell>
          <cell r="H42">
            <v>0.7</v>
          </cell>
        </row>
        <row r="43">
          <cell r="G43">
            <v>23078.240000000002</v>
          </cell>
          <cell r="H43">
            <v>0.7</v>
          </cell>
        </row>
        <row r="44">
          <cell r="G44">
            <v>22720.55</v>
          </cell>
          <cell r="H44">
            <v>0.68</v>
          </cell>
        </row>
        <row r="45">
          <cell r="G45">
            <v>21955.68</v>
          </cell>
          <cell r="H45">
            <v>0.66</v>
          </cell>
        </row>
        <row r="46">
          <cell r="G46">
            <v>21837.94</v>
          </cell>
          <cell r="H46">
            <v>0.66</v>
          </cell>
        </row>
        <row r="47">
          <cell r="G47">
            <v>21569.31</v>
          </cell>
          <cell r="H47">
            <v>0.65</v>
          </cell>
        </row>
        <row r="48">
          <cell r="G48">
            <v>21320.29</v>
          </cell>
          <cell r="H48">
            <v>0.64</v>
          </cell>
        </row>
        <row r="49">
          <cell r="G49">
            <v>20205.43</v>
          </cell>
          <cell r="H49">
            <v>0.61</v>
          </cell>
        </row>
        <row r="50">
          <cell r="G50">
            <v>16798.53</v>
          </cell>
          <cell r="H50">
            <v>0.51</v>
          </cell>
        </row>
        <row r="51">
          <cell r="G51">
            <v>15478.13</v>
          </cell>
          <cell r="H51">
            <v>0.47</v>
          </cell>
        </row>
        <row r="52">
          <cell r="G52">
            <v>13846</v>
          </cell>
          <cell r="H52">
            <v>0.42</v>
          </cell>
        </row>
        <row r="53">
          <cell r="G53">
            <v>13137.46</v>
          </cell>
          <cell r="H53">
            <v>0.4</v>
          </cell>
        </row>
        <row r="54">
          <cell r="G54">
            <v>11167.01</v>
          </cell>
          <cell r="H54">
            <v>0.34</v>
          </cell>
        </row>
        <row r="55">
          <cell r="G55">
            <v>11067.37</v>
          </cell>
          <cell r="H55">
            <v>0.33</v>
          </cell>
        </row>
        <row r="56">
          <cell r="G56">
            <v>9449.59</v>
          </cell>
          <cell r="H56">
            <v>0.28000000000000003</v>
          </cell>
        </row>
        <row r="57">
          <cell r="G57">
            <v>8770.43</v>
          </cell>
          <cell r="H57">
            <v>0.26</v>
          </cell>
        </row>
        <row r="58">
          <cell r="G58">
            <v>7834.07</v>
          </cell>
          <cell r="H58">
            <v>0.24</v>
          </cell>
        </row>
        <row r="59">
          <cell r="G59">
            <v>7529.4</v>
          </cell>
          <cell r="H59">
            <v>0.23</v>
          </cell>
        </row>
        <row r="60">
          <cell r="G60">
            <v>7028.42</v>
          </cell>
          <cell r="H60">
            <v>0.21</v>
          </cell>
        </row>
        <row r="61">
          <cell r="G61">
            <v>7019.48</v>
          </cell>
          <cell r="H61">
            <v>0.21</v>
          </cell>
        </row>
        <row r="62">
          <cell r="G62">
            <v>6817.62</v>
          </cell>
          <cell r="H62">
            <v>0.21</v>
          </cell>
        </row>
        <row r="63">
          <cell r="G63">
            <v>6779.02</v>
          </cell>
          <cell r="H63">
            <v>0.2</v>
          </cell>
        </row>
        <row r="64">
          <cell r="G64">
            <v>6676.78</v>
          </cell>
          <cell r="H64">
            <v>0.2</v>
          </cell>
        </row>
        <row r="65">
          <cell r="G65">
            <v>6238.79</v>
          </cell>
          <cell r="H65">
            <v>0.19</v>
          </cell>
        </row>
        <row r="66">
          <cell r="G66">
            <v>6205.72</v>
          </cell>
          <cell r="H66">
            <v>0.19</v>
          </cell>
        </row>
        <row r="67">
          <cell r="G67">
            <v>6126.45</v>
          </cell>
          <cell r="H67">
            <v>0.18</v>
          </cell>
        </row>
        <row r="68">
          <cell r="G68">
            <v>5985.82</v>
          </cell>
          <cell r="H68">
            <v>0.18</v>
          </cell>
        </row>
        <row r="69">
          <cell r="G69">
            <v>5190.32</v>
          </cell>
          <cell r="H69">
            <v>0.16</v>
          </cell>
        </row>
        <row r="70">
          <cell r="G70">
            <v>5164.49</v>
          </cell>
          <cell r="H70">
            <v>0.16</v>
          </cell>
        </row>
        <row r="71">
          <cell r="G71">
            <v>5080.09</v>
          </cell>
          <cell r="H71">
            <v>0.15</v>
          </cell>
        </row>
        <row r="72">
          <cell r="G72">
            <v>4618.4399999999996</v>
          </cell>
          <cell r="H72">
            <v>0.14000000000000001</v>
          </cell>
        </row>
        <row r="73">
          <cell r="G73">
            <v>4545.2299999999996</v>
          </cell>
          <cell r="H73">
            <v>0.14000000000000001</v>
          </cell>
        </row>
        <row r="74">
          <cell r="G74">
            <v>4349.4799999999996</v>
          </cell>
          <cell r="H74">
            <v>0.13</v>
          </cell>
        </row>
        <row r="75">
          <cell r="G75">
            <v>3810.38</v>
          </cell>
          <cell r="H75">
            <v>0.11</v>
          </cell>
        </row>
        <row r="76">
          <cell r="G76">
            <v>3714</v>
          </cell>
          <cell r="H76">
            <v>0.11</v>
          </cell>
        </row>
        <row r="77">
          <cell r="G77">
            <v>3383.33</v>
          </cell>
          <cell r="H77">
            <v>0.1</v>
          </cell>
        </row>
        <row r="78">
          <cell r="G78">
            <v>3176.01</v>
          </cell>
          <cell r="H78">
            <v>0.1</v>
          </cell>
        </row>
        <row r="79">
          <cell r="G79">
            <v>2991.3</v>
          </cell>
          <cell r="H79">
            <v>0.09</v>
          </cell>
        </row>
        <row r="80">
          <cell r="G80">
            <v>2733.82</v>
          </cell>
          <cell r="H80">
            <v>0.08</v>
          </cell>
        </row>
        <row r="81">
          <cell r="G81">
            <v>2591.62</v>
          </cell>
          <cell r="H81">
            <v>0.08</v>
          </cell>
        </row>
        <row r="82">
          <cell r="G82">
            <v>2173.85</v>
          </cell>
          <cell r="H82">
            <v>7.0000000000000007E-2</v>
          </cell>
        </row>
        <row r="83">
          <cell r="G83">
            <v>1729.47</v>
          </cell>
          <cell r="H83">
            <v>0.05</v>
          </cell>
        </row>
        <row r="84">
          <cell r="G84">
            <v>1233.0999999999999</v>
          </cell>
          <cell r="H84">
            <v>0.04</v>
          </cell>
        </row>
        <row r="85">
          <cell r="G85">
            <v>1228.0899999999999</v>
          </cell>
          <cell r="H85">
            <v>0.04</v>
          </cell>
        </row>
        <row r="86">
          <cell r="G86">
            <v>1215.8499999999999</v>
          </cell>
          <cell r="H86">
            <v>0.04</v>
          </cell>
        </row>
        <row r="87">
          <cell r="G87">
            <v>1196.0999999999999</v>
          </cell>
          <cell r="H87">
            <v>0.04</v>
          </cell>
        </row>
        <row r="88">
          <cell r="G88">
            <v>1055.27</v>
          </cell>
          <cell r="H88">
            <v>0.03</v>
          </cell>
        </row>
        <row r="89">
          <cell r="G89">
            <v>919.74</v>
          </cell>
          <cell r="H89">
            <v>0.03</v>
          </cell>
        </row>
        <row r="90">
          <cell r="G90">
            <v>897.86</v>
          </cell>
          <cell r="H90">
            <v>0.03</v>
          </cell>
        </row>
        <row r="91">
          <cell r="G91">
            <v>753.42</v>
          </cell>
          <cell r="H91">
            <v>0.02</v>
          </cell>
        </row>
        <row r="92">
          <cell r="G92">
            <v>677.85</v>
          </cell>
          <cell r="H92">
            <v>0.02</v>
          </cell>
        </row>
        <row r="93">
          <cell r="G93">
            <v>603.12</v>
          </cell>
          <cell r="H93">
            <v>0.02</v>
          </cell>
        </row>
        <row r="94">
          <cell r="G94">
            <v>572.61</v>
          </cell>
          <cell r="H94">
            <v>0.02</v>
          </cell>
        </row>
        <row r="95">
          <cell r="G95">
            <v>564.08000000000004</v>
          </cell>
          <cell r="H95">
            <v>0.02</v>
          </cell>
        </row>
        <row r="96">
          <cell r="G96">
            <v>510.74</v>
          </cell>
          <cell r="H96">
            <v>0.02</v>
          </cell>
        </row>
        <row r="97">
          <cell r="G97">
            <v>440.39</v>
          </cell>
          <cell r="H97">
            <v>0.01</v>
          </cell>
        </row>
        <row r="98">
          <cell r="G98">
            <v>384.64</v>
          </cell>
          <cell r="H98">
            <v>0.01</v>
          </cell>
        </row>
        <row r="99">
          <cell r="G99">
            <v>346.2</v>
          </cell>
          <cell r="H99">
            <v>0.01</v>
          </cell>
        </row>
        <row r="100">
          <cell r="G100">
            <v>304.82</v>
          </cell>
          <cell r="H100">
            <v>0.01</v>
          </cell>
        </row>
        <row r="101">
          <cell r="G101">
            <v>254.93</v>
          </cell>
          <cell r="H101">
            <v>0.01</v>
          </cell>
        </row>
        <row r="102">
          <cell r="G102">
            <v>235.07</v>
          </cell>
          <cell r="H102">
            <v>0.01</v>
          </cell>
        </row>
        <row r="103">
          <cell r="G103">
            <v>226.14</v>
          </cell>
          <cell r="H103">
            <v>0.01</v>
          </cell>
        </row>
        <row r="104">
          <cell r="G104">
            <v>127.76</v>
          </cell>
          <cell r="H104" t="str">
            <v>#</v>
          </cell>
        </row>
        <row r="105">
          <cell r="G105">
            <v>52.65</v>
          </cell>
          <cell r="H105" t="str">
            <v>#</v>
          </cell>
        </row>
        <row r="106">
          <cell r="G106">
            <v>9.64</v>
          </cell>
          <cell r="H106" t="str">
            <v>#</v>
          </cell>
        </row>
        <row r="107">
          <cell r="G107">
            <v>3.47</v>
          </cell>
          <cell r="H107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F307-3041-4DC3-88D4-399567527561}">
  <sheetPr codeName="Sheet126"/>
  <dimension ref="A1:IV171"/>
  <sheetViews>
    <sheetView showGridLines="0" tabSelected="1" zoomScale="90" zoomScaleNormal="90" workbookViewId="0">
      <pane ySplit="6" topLeftCell="A160" activePane="bottomLeft" state="frozen"/>
      <selection activeCell="D10" sqref="D10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45657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721000</v>
      </c>
      <c r="G10" s="34">
        <v>12782.25</v>
      </c>
      <c r="H10" s="34">
        <v>1.83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820000</v>
      </c>
      <c r="G11" s="34">
        <v>9966.69</v>
      </c>
      <c r="H11" s="34">
        <v>1.43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1870000</v>
      </c>
      <c r="G12" s="34">
        <v>9446.31</v>
      </c>
      <c r="H12" s="34">
        <v>1.35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3000000</v>
      </c>
      <c r="G13" s="34">
        <v>9055.5</v>
      </c>
      <c r="H13" s="34">
        <v>1.3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4350297</v>
      </c>
      <c r="G14" s="34">
        <v>8308.2000000000007</v>
      </c>
      <c r="H14" s="34">
        <v>1.19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32</v>
      </c>
      <c r="F15" s="33">
        <v>400000</v>
      </c>
      <c r="G15" s="34">
        <v>7669.6</v>
      </c>
      <c r="H15" s="34">
        <v>1.1000000000000001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43</v>
      </c>
      <c r="F16" s="33">
        <v>63550</v>
      </c>
      <c r="G16" s="34">
        <v>7653.93</v>
      </c>
      <c r="H16" s="34">
        <v>1.1000000000000001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20</v>
      </c>
      <c r="F17" s="33">
        <v>950000</v>
      </c>
      <c r="G17" s="34">
        <v>7552.03</v>
      </c>
      <c r="H17" s="34">
        <v>1.08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32</v>
      </c>
      <c r="F18" s="33">
        <v>134800</v>
      </c>
      <c r="G18" s="34">
        <v>7529.79</v>
      </c>
      <c r="H18" s="34">
        <v>1.08</v>
      </c>
      <c r="I18" s="35"/>
      <c r="J18" s="35"/>
      <c r="K18" s="36"/>
    </row>
    <row r="19" spans="2:11" x14ac:dyDescent="0.35">
      <c r="B19" s="1" t="s">
        <v>50</v>
      </c>
      <c r="C19" s="21" t="s">
        <v>51</v>
      </c>
      <c r="D19" s="31" t="s">
        <v>52</v>
      </c>
      <c r="E19" s="32" t="s">
        <v>53</v>
      </c>
      <c r="F19" s="33">
        <v>2350763</v>
      </c>
      <c r="G19" s="34">
        <v>7314.87</v>
      </c>
      <c r="H19" s="34">
        <v>1.05</v>
      </c>
      <c r="I19" s="35"/>
      <c r="J19" s="35"/>
      <c r="K19" s="36"/>
    </row>
    <row r="20" spans="2:11" x14ac:dyDescent="0.35">
      <c r="B20" s="1" t="s">
        <v>54</v>
      </c>
      <c r="C20" s="21" t="s">
        <v>55</v>
      </c>
      <c r="D20" s="31" t="s">
        <v>56</v>
      </c>
      <c r="E20" s="32" t="s">
        <v>53</v>
      </c>
      <c r="F20" s="33">
        <v>561076</v>
      </c>
      <c r="G20" s="34">
        <v>7278.28</v>
      </c>
      <c r="H20" s="34">
        <v>1.04</v>
      </c>
      <c r="I20" s="35"/>
      <c r="J20" s="35"/>
      <c r="K20" s="36"/>
    </row>
    <row r="21" spans="2:11" x14ac:dyDescent="0.35">
      <c r="B21" s="1" t="s">
        <v>57</v>
      </c>
      <c r="C21" s="21" t="s">
        <v>58</v>
      </c>
      <c r="D21" s="31" t="s">
        <v>59</v>
      </c>
      <c r="E21" s="32" t="s">
        <v>32</v>
      </c>
      <c r="F21" s="33">
        <v>380000</v>
      </c>
      <c r="G21" s="34">
        <v>7144</v>
      </c>
      <c r="H21" s="34">
        <v>1.02</v>
      </c>
      <c r="I21" s="35"/>
      <c r="J21" s="35"/>
      <c r="K21" s="36"/>
    </row>
    <row r="22" spans="2:11" x14ac:dyDescent="0.35">
      <c r="B22" s="1" t="s">
        <v>60</v>
      </c>
      <c r="C22" s="21" t="s">
        <v>61</v>
      </c>
      <c r="D22" s="31" t="s">
        <v>62</v>
      </c>
      <c r="E22" s="32" t="s">
        <v>63</v>
      </c>
      <c r="F22" s="33">
        <v>381643</v>
      </c>
      <c r="G22" s="34">
        <v>7022.8</v>
      </c>
      <c r="H22" s="34">
        <v>1.01</v>
      </c>
      <c r="I22" s="35"/>
      <c r="J22" s="35"/>
      <c r="K22" s="36"/>
    </row>
    <row r="23" spans="2:11" x14ac:dyDescent="0.35">
      <c r="B23" s="1" t="s">
        <v>64</v>
      </c>
      <c r="C23" s="21" t="s">
        <v>65</v>
      </c>
      <c r="D23" s="31" t="s">
        <v>66</v>
      </c>
      <c r="E23" s="32" t="s">
        <v>67</v>
      </c>
      <c r="F23" s="33">
        <v>1012032</v>
      </c>
      <c r="G23" s="34">
        <v>6627.29</v>
      </c>
      <c r="H23" s="34">
        <v>0.95</v>
      </c>
      <c r="I23" s="35"/>
      <c r="J23" s="35"/>
      <c r="K23" s="36"/>
    </row>
    <row r="24" spans="2:11" x14ac:dyDescent="0.35">
      <c r="B24" s="1" t="s">
        <v>68</v>
      </c>
      <c r="C24" s="21" t="s">
        <v>69</v>
      </c>
      <c r="D24" s="31" t="s">
        <v>70</v>
      </c>
      <c r="E24" s="32" t="s">
        <v>63</v>
      </c>
      <c r="F24" s="33">
        <v>1374277</v>
      </c>
      <c r="G24" s="34">
        <v>6598.59</v>
      </c>
      <c r="H24" s="34">
        <v>0.94</v>
      </c>
      <c r="I24" s="35"/>
      <c r="J24" s="35"/>
      <c r="K24" s="36"/>
    </row>
    <row r="25" spans="2:11" x14ac:dyDescent="0.35">
      <c r="B25" s="1" t="s">
        <v>71</v>
      </c>
      <c r="C25" s="21" t="s">
        <v>72</v>
      </c>
      <c r="D25" s="31" t="s">
        <v>73</v>
      </c>
      <c r="E25" s="32" t="s">
        <v>74</v>
      </c>
      <c r="F25" s="33">
        <v>5630100</v>
      </c>
      <c r="G25" s="34">
        <v>6369.33</v>
      </c>
      <c r="H25" s="34">
        <v>0.91</v>
      </c>
      <c r="I25" s="35"/>
      <c r="J25" s="35"/>
      <c r="K25" s="36"/>
    </row>
    <row r="26" spans="2:11" x14ac:dyDescent="0.35">
      <c r="B26" s="1" t="s">
        <v>75</v>
      </c>
      <c r="C26" s="21" t="s">
        <v>76</v>
      </c>
      <c r="D26" s="31" t="s">
        <v>77</v>
      </c>
      <c r="E26" s="32" t="s">
        <v>78</v>
      </c>
      <c r="F26" s="33">
        <v>3500000</v>
      </c>
      <c r="G26" s="34">
        <v>6362.3</v>
      </c>
      <c r="H26" s="34">
        <v>0.91</v>
      </c>
      <c r="I26" s="35"/>
      <c r="J26" s="35"/>
      <c r="K26" s="36"/>
    </row>
    <row r="27" spans="2:11" x14ac:dyDescent="0.35">
      <c r="B27" s="1" t="s">
        <v>79</v>
      </c>
      <c r="C27" s="21" t="s">
        <v>80</v>
      </c>
      <c r="D27" s="31" t="s">
        <v>81</v>
      </c>
      <c r="E27" s="32" t="s">
        <v>82</v>
      </c>
      <c r="F27" s="33">
        <v>711574</v>
      </c>
      <c r="G27" s="34">
        <v>6342.61</v>
      </c>
      <c r="H27" s="34">
        <v>0.91</v>
      </c>
      <c r="I27" s="35"/>
      <c r="J27" s="35"/>
      <c r="K27" s="36"/>
    </row>
    <row r="28" spans="2:11" x14ac:dyDescent="0.35">
      <c r="B28" s="1" t="s">
        <v>83</v>
      </c>
      <c r="C28" s="21" t="s">
        <v>84</v>
      </c>
      <c r="D28" s="31" t="s">
        <v>85</v>
      </c>
      <c r="E28" s="32" t="s">
        <v>86</v>
      </c>
      <c r="F28" s="33">
        <v>1000000</v>
      </c>
      <c r="G28" s="34">
        <v>6007.5</v>
      </c>
      <c r="H28" s="34">
        <v>0.86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90</v>
      </c>
      <c r="F29" s="33">
        <v>2500000</v>
      </c>
      <c r="G29" s="34">
        <v>5981.25</v>
      </c>
      <c r="H29" s="34">
        <v>0.86</v>
      </c>
      <c r="I29" s="35"/>
      <c r="J29" s="35"/>
      <c r="K29" s="36"/>
    </row>
    <row r="30" spans="2:11" x14ac:dyDescent="0.35">
      <c r="B30" s="1" t="s">
        <v>91</v>
      </c>
      <c r="C30" s="21" t="s">
        <v>92</v>
      </c>
      <c r="D30" s="31" t="s">
        <v>93</v>
      </c>
      <c r="E30" s="32" t="s">
        <v>94</v>
      </c>
      <c r="F30" s="33">
        <v>3000000</v>
      </c>
      <c r="G30" s="34">
        <v>5577.9</v>
      </c>
      <c r="H30" s="34">
        <v>0.8</v>
      </c>
      <c r="I30" s="35"/>
      <c r="J30" s="35"/>
      <c r="K30" s="36"/>
    </row>
    <row r="31" spans="2:11" x14ac:dyDescent="0.35">
      <c r="B31" s="1" t="s">
        <v>95</v>
      </c>
      <c r="C31" s="21" t="s">
        <v>96</v>
      </c>
      <c r="D31" s="31" t="s">
        <v>97</v>
      </c>
      <c r="E31" s="32" t="s">
        <v>20</v>
      </c>
      <c r="F31" s="33">
        <v>3500000</v>
      </c>
      <c r="G31" s="34">
        <v>5567.1</v>
      </c>
      <c r="H31" s="34">
        <v>0.8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3300000</v>
      </c>
      <c r="G32" s="34">
        <v>5404.08</v>
      </c>
      <c r="H32" s="34">
        <v>0.77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6000000</v>
      </c>
      <c r="G33" s="34">
        <v>5092.8</v>
      </c>
      <c r="H33" s="34">
        <v>0.73</v>
      </c>
      <c r="I33" s="35"/>
      <c r="J33" s="35"/>
      <c r="K33" s="36"/>
    </row>
    <row r="34" spans="2:11" x14ac:dyDescent="0.35">
      <c r="B34" s="1" t="s">
        <v>106</v>
      </c>
      <c r="C34" s="21" t="s">
        <v>107</v>
      </c>
      <c r="D34" s="31" t="s">
        <v>108</v>
      </c>
      <c r="E34" s="32" t="s">
        <v>109</v>
      </c>
      <c r="F34" s="33">
        <v>2210682</v>
      </c>
      <c r="G34" s="34">
        <v>4928.9399999999996</v>
      </c>
      <c r="H34" s="34">
        <v>0.71</v>
      </c>
      <c r="I34" s="35"/>
      <c r="J34" s="35"/>
      <c r="K34" s="36"/>
    </row>
    <row r="35" spans="2:11" x14ac:dyDescent="0.35">
      <c r="B35" s="1" t="s">
        <v>110</v>
      </c>
      <c r="C35" s="21" t="s">
        <v>111</v>
      </c>
      <c r="D35" s="31" t="s">
        <v>112</v>
      </c>
      <c r="E35" s="32" t="s">
        <v>113</v>
      </c>
      <c r="F35" s="33">
        <v>430000</v>
      </c>
      <c r="G35" s="34">
        <v>4868.8900000000003</v>
      </c>
      <c r="H35" s="34">
        <v>0.7</v>
      </c>
      <c r="I35" s="35"/>
      <c r="J35" s="35"/>
      <c r="K35" s="36"/>
    </row>
    <row r="36" spans="2:11" x14ac:dyDescent="0.35">
      <c r="B36" s="1" t="s">
        <v>114</v>
      </c>
      <c r="C36" s="21" t="s">
        <v>115</v>
      </c>
      <c r="D36" s="31" t="s">
        <v>116</v>
      </c>
      <c r="E36" s="32" t="s">
        <v>105</v>
      </c>
      <c r="F36" s="33">
        <v>639295</v>
      </c>
      <c r="G36" s="34">
        <v>4590.78</v>
      </c>
      <c r="H36" s="34">
        <v>0.66</v>
      </c>
      <c r="I36" s="35"/>
      <c r="J36" s="35"/>
      <c r="K36" s="36"/>
    </row>
    <row r="37" spans="2:11" x14ac:dyDescent="0.35">
      <c r="B37" s="1" t="s">
        <v>117</v>
      </c>
      <c r="C37" s="21" t="s">
        <v>118</v>
      </c>
      <c r="D37" s="31" t="s">
        <v>119</v>
      </c>
      <c r="E37" s="32" t="s">
        <v>67</v>
      </c>
      <c r="F37" s="33">
        <v>500000</v>
      </c>
      <c r="G37" s="34">
        <v>4460</v>
      </c>
      <c r="H37" s="34">
        <v>0.64</v>
      </c>
      <c r="I37" s="35"/>
      <c r="J37" s="35"/>
      <c r="K37" s="36"/>
    </row>
    <row r="38" spans="2:11" x14ac:dyDescent="0.35">
      <c r="B38" s="1" t="s">
        <v>120</v>
      </c>
      <c r="C38" s="21" t="s">
        <v>121</v>
      </c>
      <c r="D38" s="31" t="s">
        <v>122</v>
      </c>
      <c r="E38" s="32" t="s">
        <v>20</v>
      </c>
      <c r="F38" s="33">
        <v>4000000</v>
      </c>
      <c r="G38" s="34">
        <v>4111.2</v>
      </c>
      <c r="H38" s="34">
        <v>0.59</v>
      </c>
      <c r="I38" s="35"/>
      <c r="J38" s="35"/>
      <c r="K38" s="36"/>
    </row>
    <row r="39" spans="2:11" x14ac:dyDescent="0.35">
      <c r="B39" s="1" t="s">
        <v>123</v>
      </c>
      <c r="C39" s="21" t="s">
        <v>124</v>
      </c>
      <c r="D39" s="31" t="s">
        <v>125</v>
      </c>
      <c r="E39" s="32" t="s">
        <v>20</v>
      </c>
      <c r="F39" s="33">
        <v>320000</v>
      </c>
      <c r="G39" s="34">
        <v>4101.28</v>
      </c>
      <c r="H39" s="34">
        <v>0.59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20</v>
      </c>
      <c r="F40" s="33">
        <v>761421</v>
      </c>
      <c r="G40" s="34">
        <v>4035.15</v>
      </c>
      <c r="H40" s="34">
        <v>0.57999999999999996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738287</v>
      </c>
      <c r="G41" s="34">
        <v>3421.96</v>
      </c>
      <c r="H41" s="34">
        <v>0.49</v>
      </c>
      <c r="I41" s="35"/>
      <c r="J41" s="35"/>
      <c r="K41" s="36"/>
    </row>
    <row r="42" spans="2:11" x14ac:dyDescent="0.35">
      <c r="B42" s="1" t="s">
        <v>133</v>
      </c>
      <c r="C42" s="21" t="s">
        <v>134</v>
      </c>
      <c r="D42" s="31" t="s">
        <v>135</v>
      </c>
      <c r="E42" s="32" t="s">
        <v>20</v>
      </c>
      <c r="F42" s="33">
        <v>1960755</v>
      </c>
      <c r="G42" s="34">
        <v>3378.97</v>
      </c>
      <c r="H42" s="34">
        <v>0.48</v>
      </c>
      <c r="I42" s="35"/>
      <c r="J42" s="35"/>
      <c r="K42" s="36"/>
    </row>
    <row r="43" spans="2:11" x14ac:dyDescent="0.35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70000</v>
      </c>
      <c r="G43" s="34">
        <v>3333.93</v>
      </c>
      <c r="H43" s="34">
        <v>0.48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143</v>
      </c>
      <c r="F44" s="33">
        <v>525000</v>
      </c>
      <c r="G44" s="34">
        <v>3164.18</v>
      </c>
      <c r="H44" s="34">
        <v>0.45</v>
      </c>
      <c r="I44" s="35"/>
      <c r="J44" s="35"/>
      <c r="K44" s="36"/>
    </row>
    <row r="45" spans="2:11" x14ac:dyDescent="0.35">
      <c r="B45" s="1" t="s">
        <v>144</v>
      </c>
      <c r="C45" s="21" t="s">
        <v>145</v>
      </c>
      <c r="D45" s="31" t="s">
        <v>146</v>
      </c>
      <c r="E45" s="32" t="s">
        <v>101</v>
      </c>
      <c r="F45" s="33">
        <v>79499</v>
      </c>
      <c r="G45" s="34">
        <v>3129.36</v>
      </c>
      <c r="H45" s="34">
        <v>0.45</v>
      </c>
      <c r="I45" s="35"/>
      <c r="J45" s="35"/>
      <c r="K45" s="36"/>
    </row>
    <row r="46" spans="2:11" x14ac:dyDescent="0.35">
      <c r="B46" s="1" t="s">
        <v>147</v>
      </c>
      <c r="C46" s="21" t="s">
        <v>148</v>
      </c>
      <c r="D46" s="31" t="s">
        <v>149</v>
      </c>
      <c r="E46" s="32" t="s">
        <v>150</v>
      </c>
      <c r="F46" s="33">
        <v>179171</v>
      </c>
      <c r="G46" s="34">
        <v>2912.34</v>
      </c>
      <c r="H46" s="34">
        <v>0.42</v>
      </c>
      <c r="I46" s="35"/>
      <c r="J46" s="35"/>
      <c r="K46" s="36"/>
    </row>
    <row r="47" spans="2:11" x14ac:dyDescent="0.35">
      <c r="B47" s="1" t="s">
        <v>151</v>
      </c>
      <c r="C47" s="21" t="s">
        <v>152</v>
      </c>
      <c r="D47" s="31" t="s">
        <v>153</v>
      </c>
      <c r="E47" s="32" t="s">
        <v>132</v>
      </c>
      <c r="F47" s="33">
        <v>829665</v>
      </c>
      <c r="G47" s="34">
        <v>2881.43</v>
      </c>
      <c r="H47" s="34">
        <v>0.41</v>
      </c>
      <c r="I47" s="35"/>
      <c r="J47" s="35"/>
      <c r="K47" s="36"/>
    </row>
    <row r="48" spans="2:11" x14ac:dyDescent="0.35">
      <c r="B48" s="1" t="s">
        <v>154</v>
      </c>
      <c r="C48" s="21" t="s">
        <v>155</v>
      </c>
      <c r="D48" s="31" t="s">
        <v>156</v>
      </c>
      <c r="E48" s="32" t="s">
        <v>32</v>
      </c>
      <c r="F48" s="33">
        <v>165000</v>
      </c>
      <c r="G48" s="34">
        <v>2815.23</v>
      </c>
      <c r="H48" s="34">
        <v>0.4</v>
      </c>
      <c r="I48" s="35"/>
      <c r="J48" s="35"/>
      <c r="K48" s="36"/>
    </row>
    <row r="49" spans="2:11" x14ac:dyDescent="0.35">
      <c r="B49" s="1" t="s">
        <v>157</v>
      </c>
      <c r="C49" s="21" t="s">
        <v>158</v>
      </c>
      <c r="D49" s="31" t="s">
        <v>159</v>
      </c>
      <c r="E49" s="32" t="s">
        <v>109</v>
      </c>
      <c r="F49" s="33">
        <v>1300000</v>
      </c>
      <c r="G49" s="34">
        <v>2701.53</v>
      </c>
      <c r="H49" s="34">
        <v>0.39</v>
      </c>
      <c r="I49" s="35"/>
      <c r="J49" s="35"/>
      <c r="K49" s="36"/>
    </row>
    <row r="50" spans="2:11" x14ac:dyDescent="0.35">
      <c r="B50" s="1" t="s">
        <v>160</v>
      </c>
      <c r="C50" s="21" t="s">
        <v>161</v>
      </c>
      <c r="D50" s="31" t="s">
        <v>162</v>
      </c>
      <c r="E50" s="32" t="s">
        <v>143</v>
      </c>
      <c r="F50" s="33">
        <v>147079</v>
      </c>
      <c r="G50" s="34">
        <v>2617.0500000000002</v>
      </c>
      <c r="H50" s="34">
        <v>0.37</v>
      </c>
      <c r="I50" s="35"/>
      <c r="J50" s="35"/>
      <c r="K50" s="36"/>
    </row>
    <row r="51" spans="2:11" x14ac:dyDescent="0.35">
      <c r="B51" s="1" t="s">
        <v>163</v>
      </c>
      <c r="C51" s="21" t="s">
        <v>164</v>
      </c>
      <c r="D51" s="31" t="s">
        <v>165</v>
      </c>
      <c r="E51" s="32" t="s">
        <v>166</v>
      </c>
      <c r="F51" s="33">
        <v>160000</v>
      </c>
      <c r="G51" s="34">
        <v>2540.4</v>
      </c>
      <c r="H51" s="34">
        <v>0.36</v>
      </c>
      <c r="I51" s="35"/>
      <c r="J51" s="35"/>
      <c r="K51" s="36"/>
    </row>
    <row r="52" spans="2:11" x14ac:dyDescent="0.35">
      <c r="B52" s="1" t="s">
        <v>167</v>
      </c>
      <c r="C52" s="21" t="s">
        <v>168</v>
      </c>
      <c r="D52" s="31" t="s">
        <v>169</v>
      </c>
      <c r="E52" s="32" t="s">
        <v>78</v>
      </c>
      <c r="F52" s="33">
        <v>56794</v>
      </c>
      <c r="G52" s="34">
        <v>2384.81</v>
      </c>
      <c r="H52" s="34">
        <v>0.34</v>
      </c>
      <c r="I52" s="35"/>
      <c r="J52" s="35"/>
      <c r="K52" s="36"/>
    </row>
    <row r="53" spans="2:11" x14ac:dyDescent="0.35">
      <c r="B53" s="1" t="s">
        <v>170</v>
      </c>
      <c r="C53" s="21" t="s">
        <v>171</v>
      </c>
      <c r="D53" s="31" t="s">
        <v>172</v>
      </c>
      <c r="E53" s="32" t="s">
        <v>20</v>
      </c>
      <c r="F53" s="33">
        <v>3465000</v>
      </c>
      <c r="G53" s="34">
        <v>2218.29</v>
      </c>
      <c r="H53" s="34">
        <v>0.32</v>
      </c>
      <c r="I53" s="35"/>
      <c r="J53" s="35"/>
      <c r="K53" s="36"/>
    </row>
    <row r="54" spans="2:11" x14ac:dyDescent="0.35">
      <c r="B54" s="1" t="s">
        <v>173</v>
      </c>
      <c r="C54" s="21" t="s">
        <v>174</v>
      </c>
      <c r="D54" s="31" t="s">
        <v>175</v>
      </c>
      <c r="E54" s="32" t="s">
        <v>143</v>
      </c>
      <c r="F54" s="33">
        <v>416589</v>
      </c>
      <c r="G54" s="34">
        <v>1522.01</v>
      </c>
      <c r="H54" s="34">
        <v>0.22</v>
      </c>
      <c r="I54" s="35"/>
      <c r="J54" s="35"/>
      <c r="K54" s="36"/>
    </row>
    <row r="55" spans="2:11" x14ac:dyDescent="0.35">
      <c r="B55" s="1" t="s">
        <v>176</v>
      </c>
      <c r="C55" s="21" t="s">
        <v>177</v>
      </c>
      <c r="D55" s="31" t="s">
        <v>178</v>
      </c>
      <c r="E55" s="32" t="s">
        <v>179</v>
      </c>
      <c r="F55" s="33">
        <v>500000</v>
      </c>
      <c r="G55" s="34">
        <v>1480</v>
      </c>
      <c r="H55" s="34">
        <v>0.21</v>
      </c>
      <c r="I55" s="35"/>
      <c r="J55" s="35"/>
      <c r="K55" s="36"/>
    </row>
    <row r="56" spans="2:11" x14ac:dyDescent="0.35">
      <c r="B56" s="1" t="s">
        <v>180</v>
      </c>
      <c r="C56" s="21" t="s">
        <v>181</v>
      </c>
      <c r="D56" s="31" t="s">
        <v>182</v>
      </c>
      <c r="E56" s="32" t="s">
        <v>63</v>
      </c>
      <c r="F56" s="33">
        <v>681540</v>
      </c>
      <c r="G56" s="34">
        <v>1429.26</v>
      </c>
      <c r="H56" s="34">
        <v>0.2</v>
      </c>
      <c r="I56" s="35"/>
      <c r="J56" s="35"/>
      <c r="K56" s="36"/>
    </row>
    <row r="57" spans="2:11" x14ac:dyDescent="0.35">
      <c r="B57" s="1" t="s">
        <v>183</v>
      </c>
      <c r="C57" s="21" t="s">
        <v>184</v>
      </c>
      <c r="D57" s="31" t="s">
        <v>185</v>
      </c>
      <c r="E57" s="32" t="s">
        <v>20</v>
      </c>
      <c r="F57" s="33">
        <v>100000</v>
      </c>
      <c r="G57" s="34">
        <v>1064.7</v>
      </c>
      <c r="H57" s="34">
        <v>0.15</v>
      </c>
      <c r="I57" s="35"/>
      <c r="J57" s="35"/>
      <c r="K57" s="36"/>
    </row>
    <row r="58" spans="2:11" x14ac:dyDescent="0.35">
      <c r="B58" s="1" t="s">
        <v>186</v>
      </c>
      <c r="C58" s="21" t="s">
        <v>187</v>
      </c>
      <c r="D58" s="31" t="s">
        <v>188</v>
      </c>
      <c r="E58" s="32" t="s">
        <v>189</v>
      </c>
      <c r="F58" s="33">
        <v>75000</v>
      </c>
      <c r="G58" s="34">
        <v>978.68</v>
      </c>
      <c r="H58" s="34">
        <v>0.14000000000000001</v>
      </c>
      <c r="I58" s="35"/>
      <c r="J58" s="35"/>
      <c r="K58" s="36"/>
    </row>
    <row r="59" spans="2:11" x14ac:dyDescent="0.35">
      <c r="B59" s="1" t="s">
        <v>190</v>
      </c>
      <c r="C59" s="21" t="s">
        <v>191</v>
      </c>
      <c r="D59" s="31" t="s">
        <v>192</v>
      </c>
      <c r="E59" s="32" t="s">
        <v>109</v>
      </c>
      <c r="F59" s="33">
        <v>22541</v>
      </c>
      <c r="G59" s="34">
        <v>78.95</v>
      </c>
      <c r="H59" s="34">
        <v>0.01</v>
      </c>
      <c r="I59" s="35"/>
      <c r="J59" s="35"/>
      <c r="K59" s="36"/>
    </row>
    <row r="60" spans="2:11" x14ac:dyDescent="0.35">
      <c r="C60" s="30" t="s">
        <v>193</v>
      </c>
      <c r="D60" s="31"/>
      <c r="E60" s="32"/>
      <c r="F60" s="33"/>
      <c r="G60" s="38">
        <f>SUM(XDO_?FINAL_MV?162?)</f>
        <v>249804.31999999995</v>
      </c>
      <c r="H60" s="38">
        <f>SUM(XDO_?FINAL_PER_NET?162?)</f>
        <v>35.779999999999994</v>
      </c>
      <c r="I60" s="35"/>
      <c r="J60" s="35"/>
      <c r="K60" s="36"/>
    </row>
    <row r="61" spans="2:11" x14ac:dyDescent="0.35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5">
      <c r="C62" s="30" t="s">
        <v>194</v>
      </c>
      <c r="D62" s="31"/>
      <c r="E62" s="32"/>
      <c r="F62" s="33"/>
      <c r="G62" s="34" t="s">
        <v>195</v>
      </c>
      <c r="H62" s="34" t="s">
        <v>195</v>
      </c>
      <c r="I62" s="35"/>
      <c r="J62" s="35"/>
      <c r="K62" s="36"/>
    </row>
    <row r="63" spans="2:11" x14ac:dyDescent="0.35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5">
      <c r="C64" s="30" t="s">
        <v>196</v>
      </c>
      <c r="D64" s="31"/>
      <c r="E64" s="32"/>
      <c r="F64" s="33"/>
      <c r="G64" s="34" t="s">
        <v>195</v>
      </c>
      <c r="H64" s="34" t="s">
        <v>195</v>
      </c>
      <c r="I64" s="35"/>
      <c r="J64" s="35"/>
      <c r="K64" s="36"/>
    </row>
    <row r="65" spans="1:11" x14ac:dyDescent="0.35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5">
      <c r="C66" s="37" t="s">
        <v>197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5">
      <c r="B67" s="1" t="s">
        <v>198</v>
      </c>
      <c r="C67" s="21" t="s">
        <v>199</v>
      </c>
      <c r="D67" s="31" t="s">
        <v>200</v>
      </c>
      <c r="E67" s="32" t="s">
        <v>201</v>
      </c>
      <c r="F67" s="33">
        <v>2600000</v>
      </c>
      <c r="G67" s="34">
        <v>3135.6</v>
      </c>
      <c r="H67" s="34">
        <v>0.45</v>
      </c>
      <c r="I67" s="35"/>
      <c r="J67" s="35"/>
      <c r="K67" s="36"/>
    </row>
    <row r="68" spans="1:11" x14ac:dyDescent="0.35">
      <c r="C68" s="30" t="s">
        <v>193</v>
      </c>
      <c r="D68" s="31"/>
      <c r="E68" s="32"/>
      <c r="F68" s="33"/>
      <c r="G68" s="38">
        <v>3135.6</v>
      </c>
      <c r="H68" s="38">
        <v>0.45</v>
      </c>
      <c r="I68" s="35"/>
      <c r="J68" s="35"/>
      <c r="K68" s="36"/>
    </row>
    <row r="69" spans="1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5">
      <c r="C70" s="37" t="s">
        <v>202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5">
      <c r="B71" s="1" t="s">
        <v>203</v>
      </c>
      <c r="C71" s="21" t="s">
        <v>204</v>
      </c>
      <c r="D71" s="31" t="s">
        <v>205</v>
      </c>
      <c r="E71" s="32" t="s">
        <v>132</v>
      </c>
      <c r="F71" s="33">
        <v>7664234</v>
      </c>
      <c r="G71" s="34">
        <v>21054.42</v>
      </c>
      <c r="H71" s="34">
        <v>3.02</v>
      </c>
      <c r="I71" s="35"/>
      <c r="J71" s="35"/>
      <c r="K71" s="36"/>
    </row>
    <row r="72" spans="1:11" x14ac:dyDescent="0.35">
      <c r="B72" s="1" t="s">
        <v>206</v>
      </c>
      <c r="C72" s="21" t="s">
        <v>207</v>
      </c>
      <c r="D72" s="31" t="s">
        <v>208</v>
      </c>
      <c r="E72" s="32" t="s">
        <v>132</v>
      </c>
      <c r="F72" s="33">
        <v>2900000</v>
      </c>
      <c r="G72" s="34">
        <v>10715.79</v>
      </c>
      <c r="H72" s="34">
        <v>1.53</v>
      </c>
      <c r="I72" s="35"/>
      <c r="J72" s="35"/>
      <c r="K72" s="36"/>
    </row>
    <row r="73" spans="1:11" x14ac:dyDescent="0.35">
      <c r="C73" s="30" t="s">
        <v>193</v>
      </c>
      <c r="D73" s="31"/>
      <c r="E73" s="32"/>
      <c r="F73" s="33"/>
      <c r="G73" s="38">
        <v>31770.21</v>
      </c>
      <c r="H73" s="38">
        <v>4.55</v>
      </c>
      <c r="I73" s="35"/>
      <c r="J73" s="35"/>
      <c r="K73" s="36"/>
    </row>
    <row r="74" spans="1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5">
      <c r="C75" s="37" t="s">
        <v>209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5">
      <c r="B76" s="1" t="s">
        <v>210</v>
      </c>
      <c r="C76" s="21" t="s">
        <v>211</v>
      </c>
      <c r="D76" s="31" t="s">
        <v>212</v>
      </c>
      <c r="E76" s="32" t="s">
        <v>213</v>
      </c>
      <c r="F76" s="33">
        <v>6000</v>
      </c>
      <c r="G76" s="34">
        <v>5971.44</v>
      </c>
      <c r="H76" s="34">
        <v>0.86</v>
      </c>
      <c r="I76" s="35">
        <v>8.1950000000000003</v>
      </c>
      <c r="J76" s="35"/>
      <c r="K76" s="36" t="s">
        <v>214</v>
      </c>
    </row>
    <row r="77" spans="1:11" x14ac:dyDescent="0.35">
      <c r="C77" s="30" t="s">
        <v>193</v>
      </c>
      <c r="D77" s="31"/>
      <c r="E77" s="32"/>
      <c r="F77" s="33"/>
      <c r="G77" s="38">
        <v>5971.44</v>
      </c>
      <c r="H77" s="38">
        <v>0.86</v>
      </c>
      <c r="I77" s="35"/>
      <c r="J77" s="35"/>
      <c r="K77" s="36"/>
    </row>
    <row r="78" spans="1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5">
      <c r="A79" s="28"/>
      <c r="B79" s="29"/>
      <c r="C79" s="30" t="s">
        <v>215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5">
      <c r="C80" s="37" t="s">
        <v>216</v>
      </c>
      <c r="D80" s="31"/>
      <c r="E80" s="32"/>
      <c r="F80" s="33"/>
      <c r="G80" s="34"/>
      <c r="H80" s="34"/>
      <c r="I80" s="35"/>
      <c r="J80" s="35"/>
      <c r="K80" s="36"/>
    </row>
    <row r="81" spans="2:11" x14ac:dyDescent="0.35">
      <c r="B81" s="1" t="s">
        <v>217</v>
      </c>
      <c r="C81" s="21" t="s">
        <v>218</v>
      </c>
      <c r="D81" s="31" t="s">
        <v>219</v>
      </c>
      <c r="E81" s="32" t="s">
        <v>220</v>
      </c>
      <c r="F81" s="33">
        <v>20000</v>
      </c>
      <c r="G81" s="34">
        <v>20299.240000000002</v>
      </c>
      <c r="H81" s="34">
        <v>2.91</v>
      </c>
      <c r="I81" s="35">
        <v>8.35</v>
      </c>
      <c r="J81" s="35"/>
      <c r="K81" s="36"/>
    </row>
    <row r="82" spans="2:11" x14ac:dyDescent="0.35">
      <c r="B82" s="1" t="s">
        <v>221</v>
      </c>
      <c r="C82" s="21" t="s">
        <v>222</v>
      </c>
      <c r="D82" s="31" t="s">
        <v>223</v>
      </c>
      <c r="E82" s="32" t="s">
        <v>224</v>
      </c>
      <c r="F82" s="33">
        <v>20000</v>
      </c>
      <c r="G82" s="34">
        <v>20082.400000000001</v>
      </c>
      <c r="H82" s="34">
        <v>2.88</v>
      </c>
      <c r="I82" s="35">
        <v>7.7790999999999997</v>
      </c>
      <c r="J82" s="35"/>
      <c r="K82" s="36" t="s">
        <v>214</v>
      </c>
    </row>
    <row r="83" spans="2:11" x14ac:dyDescent="0.35">
      <c r="B83" s="1" t="s">
        <v>225</v>
      </c>
      <c r="C83" s="21" t="s">
        <v>226</v>
      </c>
      <c r="D83" s="31" t="s">
        <v>227</v>
      </c>
      <c r="E83" s="32" t="s">
        <v>228</v>
      </c>
      <c r="F83" s="33">
        <v>20000</v>
      </c>
      <c r="G83" s="34">
        <v>20045</v>
      </c>
      <c r="H83" s="34">
        <v>2.87</v>
      </c>
      <c r="I83" s="35">
        <v>8.4749999999999996</v>
      </c>
      <c r="J83" s="35"/>
      <c r="K83" s="36" t="s">
        <v>214</v>
      </c>
    </row>
    <row r="84" spans="2:11" x14ac:dyDescent="0.35">
      <c r="B84" s="1" t="s">
        <v>229</v>
      </c>
      <c r="C84" s="21" t="s">
        <v>230</v>
      </c>
      <c r="D84" s="31" t="s">
        <v>231</v>
      </c>
      <c r="E84" s="32" t="s">
        <v>232</v>
      </c>
      <c r="F84" s="33">
        <v>16000</v>
      </c>
      <c r="G84" s="34">
        <v>16041.65</v>
      </c>
      <c r="H84" s="34">
        <v>2.2999999999999998</v>
      </c>
      <c r="I84" s="35">
        <v>8.3391000000000002</v>
      </c>
      <c r="J84" s="35"/>
      <c r="K84" s="36" t="s">
        <v>214</v>
      </c>
    </row>
    <row r="85" spans="2:11" x14ac:dyDescent="0.35">
      <c r="B85" s="1" t="s">
        <v>233</v>
      </c>
      <c r="C85" s="21" t="s">
        <v>234</v>
      </c>
      <c r="D85" s="31" t="s">
        <v>235</v>
      </c>
      <c r="E85" s="32" t="s">
        <v>232</v>
      </c>
      <c r="F85" s="33">
        <v>15000</v>
      </c>
      <c r="G85" s="34">
        <v>14962.16</v>
      </c>
      <c r="H85" s="34">
        <v>2.14</v>
      </c>
      <c r="I85" s="35">
        <v>9.8148999999999997</v>
      </c>
      <c r="J85" s="35"/>
      <c r="K85" s="36" t="s">
        <v>214</v>
      </c>
    </row>
    <row r="86" spans="2:11" x14ac:dyDescent="0.35">
      <c r="B86" s="1" t="s">
        <v>236</v>
      </c>
      <c r="C86" s="21" t="s">
        <v>237</v>
      </c>
      <c r="D86" s="31" t="s">
        <v>238</v>
      </c>
      <c r="E86" s="32" t="s">
        <v>239</v>
      </c>
      <c r="F86" s="33">
        <v>12500</v>
      </c>
      <c r="G86" s="34">
        <v>12434.91</v>
      </c>
      <c r="H86" s="34">
        <v>1.78</v>
      </c>
      <c r="I86" s="35">
        <v>9.6141000000000005</v>
      </c>
      <c r="J86" s="35"/>
      <c r="K86" s="36" t="s">
        <v>214</v>
      </c>
    </row>
    <row r="87" spans="2:11" x14ac:dyDescent="0.35">
      <c r="B87" s="1" t="s">
        <v>240</v>
      </c>
      <c r="C87" s="21" t="s">
        <v>241</v>
      </c>
      <c r="D87" s="31" t="s">
        <v>242</v>
      </c>
      <c r="E87" s="32" t="s">
        <v>243</v>
      </c>
      <c r="F87" s="33">
        <v>100</v>
      </c>
      <c r="G87" s="34">
        <v>10010.01</v>
      </c>
      <c r="H87" s="34">
        <v>1.43</v>
      </c>
      <c r="I87" s="35">
        <v>7.3962000000000003</v>
      </c>
      <c r="J87" s="35">
        <v>7.3921922664000004</v>
      </c>
      <c r="K87" s="36"/>
    </row>
    <row r="88" spans="2:11" x14ac:dyDescent="0.35">
      <c r="B88" s="1" t="s">
        <v>244</v>
      </c>
      <c r="C88" s="21" t="s">
        <v>245</v>
      </c>
      <c r="D88" s="31" t="s">
        <v>246</v>
      </c>
      <c r="E88" s="32" t="s">
        <v>220</v>
      </c>
      <c r="F88" s="33">
        <v>10000</v>
      </c>
      <c r="G88" s="34">
        <v>9988.61</v>
      </c>
      <c r="H88" s="34">
        <v>1.43</v>
      </c>
      <c r="I88" s="35">
        <v>8.1561000000000003</v>
      </c>
      <c r="J88" s="35"/>
      <c r="K88" s="36" t="s">
        <v>214</v>
      </c>
    </row>
    <row r="89" spans="2:11" x14ac:dyDescent="0.35">
      <c r="B89" s="1" t="s">
        <v>247</v>
      </c>
      <c r="C89" s="21" t="s">
        <v>248</v>
      </c>
      <c r="D89" s="31" t="s">
        <v>249</v>
      </c>
      <c r="E89" s="32" t="s">
        <v>243</v>
      </c>
      <c r="F89" s="33">
        <v>9000</v>
      </c>
      <c r="G89" s="34">
        <v>9149.6200000000008</v>
      </c>
      <c r="H89" s="34">
        <v>1.31</v>
      </c>
      <c r="I89" s="35">
        <v>7.6273999999999997</v>
      </c>
      <c r="J89" s="35"/>
      <c r="K89" s="36" t="s">
        <v>214</v>
      </c>
    </row>
    <row r="90" spans="2:11" x14ac:dyDescent="0.35">
      <c r="B90" s="1" t="s">
        <v>250</v>
      </c>
      <c r="C90" s="21" t="s">
        <v>251</v>
      </c>
      <c r="D90" s="31" t="s">
        <v>252</v>
      </c>
      <c r="E90" s="32" t="s">
        <v>253</v>
      </c>
      <c r="F90" s="33">
        <v>9000</v>
      </c>
      <c r="G90" s="34">
        <v>8989.77</v>
      </c>
      <c r="H90" s="34">
        <v>1.29</v>
      </c>
      <c r="I90" s="35">
        <v>9.7905999999999995</v>
      </c>
      <c r="J90" s="35"/>
      <c r="K90" s="36" t="s">
        <v>214</v>
      </c>
    </row>
    <row r="91" spans="2:11" x14ac:dyDescent="0.35">
      <c r="B91" s="1" t="s">
        <v>254</v>
      </c>
      <c r="C91" s="21" t="s">
        <v>255</v>
      </c>
      <c r="D91" s="31" t="s">
        <v>256</v>
      </c>
      <c r="E91" s="32" t="s">
        <v>257</v>
      </c>
      <c r="F91" s="33">
        <v>850</v>
      </c>
      <c r="G91" s="34">
        <v>8455.67</v>
      </c>
      <c r="H91" s="34">
        <v>1.21</v>
      </c>
      <c r="I91" s="35">
        <v>7.2949999999999999</v>
      </c>
      <c r="J91" s="35">
        <v>9.4399023721500015</v>
      </c>
      <c r="K91" s="36" t="s">
        <v>214</v>
      </c>
    </row>
    <row r="92" spans="2:11" x14ac:dyDescent="0.35">
      <c r="B92" s="1" t="s">
        <v>258</v>
      </c>
      <c r="C92" s="21" t="s">
        <v>211</v>
      </c>
      <c r="D92" s="31" t="s">
        <v>259</v>
      </c>
      <c r="E92" s="32" t="s">
        <v>224</v>
      </c>
      <c r="F92" s="33">
        <v>7500</v>
      </c>
      <c r="G92" s="34">
        <v>7557.86</v>
      </c>
      <c r="H92" s="34">
        <v>1.08</v>
      </c>
      <c r="I92" s="35">
        <v>8.17</v>
      </c>
      <c r="J92" s="35"/>
      <c r="K92" s="36" t="s">
        <v>214</v>
      </c>
    </row>
    <row r="93" spans="2:11" x14ac:dyDescent="0.35">
      <c r="B93" s="1" t="s">
        <v>260</v>
      </c>
      <c r="C93" s="21" t="s">
        <v>261</v>
      </c>
      <c r="D93" s="31" t="s">
        <v>262</v>
      </c>
      <c r="E93" s="32" t="s">
        <v>263</v>
      </c>
      <c r="F93" s="33">
        <v>7500</v>
      </c>
      <c r="G93" s="34">
        <v>7550.06</v>
      </c>
      <c r="H93" s="34">
        <v>1.08</v>
      </c>
      <c r="I93" s="35">
        <v>8.08</v>
      </c>
      <c r="J93" s="35"/>
      <c r="K93" s="36" t="s">
        <v>214</v>
      </c>
    </row>
    <row r="94" spans="2:11" x14ac:dyDescent="0.35">
      <c r="B94" s="1" t="s">
        <v>264</v>
      </c>
      <c r="C94" s="21" t="s">
        <v>265</v>
      </c>
      <c r="D94" s="31" t="s">
        <v>266</v>
      </c>
      <c r="E94" s="32" t="s">
        <v>220</v>
      </c>
      <c r="F94" s="33">
        <v>7500</v>
      </c>
      <c r="G94" s="34">
        <v>7537.27</v>
      </c>
      <c r="H94" s="34">
        <v>1.08</v>
      </c>
      <c r="I94" s="35">
        <v>8.5</v>
      </c>
      <c r="J94" s="35"/>
      <c r="K94" s="36" t="s">
        <v>214</v>
      </c>
    </row>
    <row r="95" spans="2:11" x14ac:dyDescent="0.35">
      <c r="B95" s="1" t="s">
        <v>267</v>
      </c>
      <c r="C95" s="21" t="s">
        <v>268</v>
      </c>
      <c r="D95" s="31" t="s">
        <v>269</v>
      </c>
      <c r="E95" s="32" t="s">
        <v>270</v>
      </c>
      <c r="F95" s="33">
        <v>5000</v>
      </c>
      <c r="G95" s="34">
        <v>5042.16</v>
      </c>
      <c r="H95" s="34">
        <v>0.72</v>
      </c>
      <c r="I95" s="35">
        <v>9.1196000000000002</v>
      </c>
      <c r="J95" s="35"/>
      <c r="K95" s="36" t="s">
        <v>214</v>
      </c>
    </row>
    <row r="96" spans="2:11" x14ac:dyDescent="0.35">
      <c r="B96" s="1" t="s">
        <v>271</v>
      </c>
      <c r="C96" s="21" t="s">
        <v>272</v>
      </c>
      <c r="D96" s="31" t="s">
        <v>273</v>
      </c>
      <c r="E96" s="32" t="s">
        <v>243</v>
      </c>
      <c r="F96" s="33">
        <v>5000</v>
      </c>
      <c r="G96" s="34">
        <v>5029.71</v>
      </c>
      <c r="H96" s="34">
        <v>0.72</v>
      </c>
      <c r="I96" s="35">
        <v>8.1150000000000002</v>
      </c>
      <c r="J96" s="35"/>
      <c r="K96" s="36" t="s">
        <v>214</v>
      </c>
    </row>
    <row r="97" spans="2:11" x14ac:dyDescent="0.35">
      <c r="B97" s="1" t="s">
        <v>274</v>
      </c>
      <c r="C97" s="21" t="s">
        <v>275</v>
      </c>
      <c r="D97" s="31" t="s">
        <v>276</v>
      </c>
      <c r="E97" s="32" t="s">
        <v>277</v>
      </c>
      <c r="F97" s="33">
        <v>5000</v>
      </c>
      <c r="G97" s="34">
        <v>5026.83</v>
      </c>
      <c r="H97" s="34">
        <v>0.72</v>
      </c>
      <c r="I97" s="35">
        <v>9.9695</v>
      </c>
      <c r="J97" s="35"/>
      <c r="K97" s="36" t="s">
        <v>214</v>
      </c>
    </row>
    <row r="98" spans="2:11" x14ac:dyDescent="0.35">
      <c r="B98" s="1" t="s">
        <v>278</v>
      </c>
      <c r="C98" s="21" t="s">
        <v>279</v>
      </c>
      <c r="D98" s="31" t="s">
        <v>280</v>
      </c>
      <c r="E98" s="32" t="s">
        <v>243</v>
      </c>
      <c r="F98" s="33">
        <v>5000</v>
      </c>
      <c r="G98" s="34">
        <v>5016.1400000000003</v>
      </c>
      <c r="H98" s="34">
        <v>0.72</v>
      </c>
      <c r="I98" s="35">
        <v>8.1649999999999991</v>
      </c>
      <c r="J98" s="35"/>
      <c r="K98" s="36" t="s">
        <v>214</v>
      </c>
    </row>
    <row r="99" spans="2:11" x14ac:dyDescent="0.35">
      <c r="B99" s="1" t="s">
        <v>281</v>
      </c>
      <c r="C99" s="21" t="s">
        <v>282</v>
      </c>
      <c r="D99" s="31" t="s">
        <v>283</v>
      </c>
      <c r="E99" s="32" t="s">
        <v>228</v>
      </c>
      <c r="F99" s="33">
        <v>4000</v>
      </c>
      <c r="G99" s="34">
        <v>4003.49</v>
      </c>
      <c r="H99" s="34">
        <v>0.56999999999999995</v>
      </c>
      <c r="I99" s="35">
        <v>8.9049999999999994</v>
      </c>
      <c r="J99" s="35"/>
      <c r="K99" s="36" t="s">
        <v>214</v>
      </c>
    </row>
    <row r="100" spans="2:11" x14ac:dyDescent="0.35">
      <c r="B100" s="1" t="s">
        <v>284</v>
      </c>
      <c r="C100" s="21" t="s">
        <v>285</v>
      </c>
      <c r="D100" s="31" t="s">
        <v>286</v>
      </c>
      <c r="E100" s="32" t="s">
        <v>277</v>
      </c>
      <c r="F100" s="33">
        <v>3000</v>
      </c>
      <c r="G100" s="34">
        <v>3002.93</v>
      </c>
      <c r="H100" s="34">
        <v>0.43</v>
      </c>
      <c r="I100" s="35">
        <v>10.1775</v>
      </c>
      <c r="J100" s="35"/>
      <c r="K100" s="36" t="s">
        <v>214</v>
      </c>
    </row>
    <row r="101" spans="2:11" x14ac:dyDescent="0.35">
      <c r="B101" s="1" t="s">
        <v>287</v>
      </c>
      <c r="C101" s="21" t="s">
        <v>288</v>
      </c>
      <c r="D101" s="31" t="s">
        <v>289</v>
      </c>
      <c r="E101" s="32" t="s">
        <v>243</v>
      </c>
      <c r="F101" s="33">
        <v>2500</v>
      </c>
      <c r="G101" s="34">
        <v>2569.4499999999998</v>
      </c>
      <c r="H101" s="34">
        <v>0.37</v>
      </c>
      <c r="I101" s="35">
        <v>7.7938000000000001</v>
      </c>
      <c r="J101" s="35"/>
      <c r="K101" s="36" t="s">
        <v>214</v>
      </c>
    </row>
    <row r="102" spans="2:11" x14ac:dyDescent="0.35">
      <c r="B102" s="1" t="s">
        <v>290</v>
      </c>
      <c r="C102" s="21" t="s">
        <v>272</v>
      </c>
      <c r="D102" s="31" t="s">
        <v>291</v>
      </c>
      <c r="E102" s="32" t="s">
        <v>243</v>
      </c>
      <c r="F102" s="33">
        <v>2500</v>
      </c>
      <c r="G102" s="34">
        <v>2531</v>
      </c>
      <c r="H102" s="34">
        <v>0.36</v>
      </c>
      <c r="I102" s="35">
        <v>8.0347000000000008</v>
      </c>
      <c r="J102" s="35"/>
      <c r="K102" s="36" t="s">
        <v>214</v>
      </c>
    </row>
    <row r="103" spans="2:11" x14ac:dyDescent="0.35">
      <c r="B103" s="1" t="s">
        <v>292</v>
      </c>
      <c r="C103" s="21" t="s">
        <v>234</v>
      </c>
      <c r="D103" s="31" t="s">
        <v>293</v>
      </c>
      <c r="E103" s="32" t="s">
        <v>232</v>
      </c>
      <c r="F103" s="33">
        <v>2500</v>
      </c>
      <c r="G103" s="34">
        <v>2501.27</v>
      </c>
      <c r="H103" s="34">
        <v>0.36</v>
      </c>
      <c r="I103" s="35">
        <v>8.9102999999999994</v>
      </c>
      <c r="J103" s="35"/>
      <c r="K103" s="36" t="s">
        <v>214</v>
      </c>
    </row>
    <row r="104" spans="2:11" x14ac:dyDescent="0.35">
      <c r="B104" s="1" t="s">
        <v>294</v>
      </c>
      <c r="C104" s="21" t="s">
        <v>295</v>
      </c>
      <c r="D104" s="31" t="s">
        <v>296</v>
      </c>
      <c r="E104" s="32" t="s">
        <v>297</v>
      </c>
      <c r="F104" s="33">
        <v>250</v>
      </c>
      <c r="G104" s="34">
        <v>2486.92</v>
      </c>
      <c r="H104" s="34">
        <v>0.36</v>
      </c>
      <c r="I104" s="35">
        <v>7.6848999999999998</v>
      </c>
      <c r="J104" s="35"/>
      <c r="K104" s="36" t="s">
        <v>214</v>
      </c>
    </row>
    <row r="105" spans="2:11" x14ac:dyDescent="0.35">
      <c r="B105" s="1" t="s">
        <v>298</v>
      </c>
      <c r="C105" s="21" t="s">
        <v>282</v>
      </c>
      <c r="D105" s="31" t="s">
        <v>299</v>
      </c>
      <c r="E105" s="32" t="s">
        <v>270</v>
      </c>
      <c r="F105" s="33">
        <v>2400</v>
      </c>
      <c r="G105" s="34">
        <v>2401.12</v>
      </c>
      <c r="H105" s="34">
        <v>0.34</v>
      </c>
      <c r="I105" s="35">
        <v>9.3643000000000001</v>
      </c>
      <c r="J105" s="35"/>
      <c r="K105" s="36" t="s">
        <v>214</v>
      </c>
    </row>
    <row r="106" spans="2:11" x14ac:dyDescent="0.35">
      <c r="B106" s="1" t="s">
        <v>300</v>
      </c>
      <c r="C106" s="21" t="s">
        <v>301</v>
      </c>
      <c r="D106" s="31" t="s">
        <v>302</v>
      </c>
      <c r="E106" s="32" t="s">
        <v>263</v>
      </c>
      <c r="F106" s="33">
        <v>2300</v>
      </c>
      <c r="G106" s="34">
        <v>2304.2399999999998</v>
      </c>
      <c r="H106" s="34">
        <v>0.33</v>
      </c>
      <c r="I106" s="35">
        <v>8.2894000000000005</v>
      </c>
      <c r="J106" s="35"/>
      <c r="K106" s="36" t="s">
        <v>214</v>
      </c>
    </row>
    <row r="107" spans="2:11" x14ac:dyDescent="0.35">
      <c r="B107" s="1" t="s">
        <v>303</v>
      </c>
      <c r="C107" s="21" t="s">
        <v>218</v>
      </c>
      <c r="D107" s="31" t="s">
        <v>304</v>
      </c>
      <c r="E107" s="32" t="s">
        <v>220</v>
      </c>
      <c r="F107" s="33">
        <v>150</v>
      </c>
      <c r="G107" s="34">
        <v>1507.58</v>
      </c>
      <c r="H107" s="34">
        <v>0.22</v>
      </c>
      <c r="I107" s="35">
        <v>8.11</v>
      </c>
      <c r="J107" s="35"/>
      <c r="K107" s="36" t="s">
        <v>214</v>
      </c>
    </row>
    <row r="108" spans="2:11" x14ac:dyDescent="0.35">
      <c r="B108" s="1" t="s">
        <v>305</v>
      </c>
      <c r="C108" s="21" t="s">
        <v>265</v>
      </c>
      <c r="D108" s="31" t="s">
        <v>306</v>
      </c>
      <c r="E108" s="32" t="s">
        <v>220</v>
      </c>
      <c r="F108" s="33">
        <v>1500</v>
      </c>
      <c r="G108" s="34">
        <v>1498.07</v>
      </c>
      <c r="H108" s="34">
        <v>0.21</v>
      </c>
      <c r="I108" s="35">
        <v>8.6050000000000004</v>
      </c>
      <c r="J108" s="35"/>
      <c r="K108" s="36" t="s">
        <v>214</v>
      </c>
    </row>
    <row r="109" spans="2:11" x14ac:dyDescent="0.35">
      <c r="C109" s="30" t="s">
        <v>193</v>
      </c>
      <c r="D109" s="31"/>
      <c r="E109" s="32"/>
      <c r="F109" s="33"/>
      <c r="G109" s="38">
        <v>218025.14</v>
      </c>
      <c r="H109" s="38">
        <v>31.22</v>
      </c>
      <c r="I109" s="35"/>
      <c r="J109" s="35"/>
      <c r="K109" s="36"/>
    </row>
    <row r="110" spans="2:11" x14ac:dyDescent="0.3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2:11" x14ac:dyDescent="0.35">
      <c r="C111" s="30" t="s">
        <v>307</v>
      </c>
      <c r="D111" s="31"/>
      <c r="E111" s="32"/>
      <c r="F111" s="33"/>
      <c r="G111" s="34" t="s">
        <v>195</v>
      </c>
      <c r="H111" s="34" t="s">
        <v>195</v>
      </c>
      <c r="I111" s="35"/>
      <c r="J111" s="35"/>
      <c r="K111" s="36"/>
    </row>
    <row r="112" spans="2:11" x14ac:dyDescent="0.3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5">
      <c r="C113" s="30" t="s">
        <v>308</v>
      </c>
      <c r="D113" s="31"/>
      <c r="E113" s="32"/>
      <c r="F113" s="33"/>
      <c r="G113" s="34" t="s">
        <v>195</v>
      </c>
      <c r="H113" s="34" t="s">
        <v>195</v>
      </c>
      <c r="I113" s="35"/>
      <c r="J113" s="35"/>
      <c r="K113" s="36"/>
    </row>
    <row r="114" spans="1:11" x14ac:dyDescent="0.3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5">
      <c r="C115" s="37" t="s">
        <v>309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5">
      <c r="B116" s="1" t="s">
        <v>310</v>
      </c>
      <c r="C116" s="21" t="s">
        <v>311</v>
      </c>
      <c r="D116" s="31" t="s">
        <v>312</v>
      </c>
      <c r="E116" s="32" t="s">
        <v>313</v>
      </c>
      <c r="F116" s="33">
        <v>20000000</v>
      </c>
      <c r="G116" s="34">
        <v>20694.86</v>
      </c>
      <c r="H116" s="34">
        <v>2.96</v>
      </c>
      <c r="I116" s="35">
        <v>7.1391821000000002</v>
      </c>
      <c r="J116" s="35"/>
      <c r="K116" s="36"/>
    </row>
    <row r="117" spans="1:11" x14ac:dyDescent="0.35">
      <c r="B117" s="1" t="s">
        <v>314</v>
      </c>
      <c r="C117" s="21" t="s">
        <v>315</v>
      </c>
      <c r="D117" s="31" t="s">
        <v>316</v>
      </c>
      <c r="E117" s="32" t="s">
        <v>313</v>
      </c>
      <c r="F117" s="33">
        <v>10000000</v>
      </c>
      <c r="G117" s="34">
        <v>10208.67</v>
      </c>
      <c r="H117" s="34">
        <v>1.46</v>
      </c>
      <c r="I117" s="35">
        <v>6.9060936999999996</v>
      </c>
      <c r="J117" s="35"/>
      <c r="K117" s="36"/>
    </row>
    <row r="118" spans="1:11" x14ac:dyDescent="0.35">
      <c r="B118" s="1" t="s">
        <v>317</v>
      </c>
      <c r="C118" s="21" t="s">
        <v>318</v>
      </c>
      <c r="D118" s="31" t="s">
        <v>319</v>
      </c>
      <c r="E118" s="32" t="s">
        <v>313</v>
      </c>
      <c r="F118" s="33">
        <v>1000000</v>
      </c>
      <c r="G118" s="34">
        <v>1009.78</v>
      </c>
      <c r="H118" s="34">
        <v>0.14000000000000001</v>
      </c>
      <c r="I118" s="35">
        <v>6.8303060000000002</v>
      </c>
      <c r="J118" s="35"/>
      <c r="K118" s="36"/>
    </row>
    <row r="119" spans="1:11" x14ac:dyDescent="0.35">
      <c r="C119" s="30" t="s">
        <v>193</v>
      </c>
      <c r="D119" s="31"/>
      <c r="E119" s="32"/>
      <c r="F119" s="33"/>
      <c r="G119" s="38">
        <v>31913.31</v>
      </c>
      <c r="H119" s="38">
        <v>4.5599999999999996</v>
      </c>
      <c r="I119" s="35"/>
      <c r="J119" s="35"/>
      <c r="K119" s="36"/>
    </row>
    <row r="120" spans="1:11" x14ac:dyDescent="0.35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x14ac:dyDescent="0.35">
      <c r="C121" s="30" t="s">
        <v>320</v>
      </c>
      <c r="D121" s="31"/>
      <c r="E121" s="32"/>
      <c r="F121" s="33"/>
      <c r="G121" s="34" t="s">
        <v>195</v>
      </c>
      <c r="H121" s="34" t="s">
        <v>195</v>
      </c>
      <c r="I121" s="35"/>
      <c r="J121" s="35"/>
      <c r="K121" s="36"/>
    </row>
    <row r="122" spans="1:11" x14ac:dyDescent="0.35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11" x14ac:dyDescent="0.35">
      <c r="A123" s="28"/>
      <c r="B123" s="29"/>
      <c r="C123" s="30" t="s">
        <v>321</v>
      </c>
      <c r="D123" s="31"/>
      <c r="E123" s="32"/>
      <c r="F123" s="33"/>
      <c r="G123" s="34"/>
      <c r="H123" s="34"/>
      <c r="I123" s="35"/>
      <c r="J123" s="35"/>
      <c r="K123" s="36"/>
    </row>
    <row r="124" spans="1:11" x14ac:dyDescent="0.35">
      <c r="A124" s="29"/>
      <c r="B124" s="29"/>
      <c r="C124" s="30" t="s">
        <v>322</v>
      </c>
      <c r="D124" s="31"/>
      <c r="E124" s="32"/>
      <c r="F124" s="33"/>
      <c r="G124" s="34" t="s">
        <v>195</v>
      </c>
      <c r="H124" s="34" t="s">
        <v>195</v>
      </c>
      <c r="I124" s="35"/>
      <c r="J124" s="35"/>
      <c r="K124" s="36"/>
    </row>
    <row r="125" spans="1:11" x14ac:dyDescent="0.35">
      <c r="A125" s="29"/>
      <c r="B125" s="29"/>
      <c r="C125" s="30"/>
      <c r="D125" s="31"/>
      <c r="E125" s="32"/>
      <c r="F125" s="33"/>
      <c r="G125" s="34"/>
      <c r="H125" s="34"/>
      <c r="I125" s="35"/>
      <c r="J125" s="35"/>
      <c r="K125" s="36"/>
    </row>
    <row r="126" spans="1:11" x14ac:dyDescent="0.35">
      <c r="C126" s="37" t="s">
        <v>323</v>
      </c>
      <c r="D126" s="31"/>
      <c r="E126" s="32"/>
      <c r="F126" s="33"/>
      <c r="G126" s="34"/>
      <c r="H126" s="34"/>
      <c r="I126" s="35"/>
      <c r="J126" s="35"/>
      <c r="K126" s="36"/>
    </row>
    <row r="127" spans="1:11" x14ac:dyDescent="0.35">
      <c r="B127" s="1" t="s">
        <v>324</v>
      </c>
      <c r="C127" s="21" t="s">
        <v>325</v>
      </c>
      <c r="D127" s="31" t="s">
        <v>326</v>
      </c>
      <c r="E127" s="32" t="s">
        <v>327</v>
      </c>
      <c r="F127" s="33">
        <v>2000</v>
      </c>
      <c r="G127" s="34">
        <v>9307.4699999999993</v>
      </c>
      <c r="H127" s="34">
        <v>1.33</v>
      </c>
      <c r="I127" s="35">
        <v>7.5650000000000004</v>
      </c>
      <c r="J127" s="35"/>
      <c r="K127" s="36" t="s">
        <v>214</v>
      </c>
    </row>
    <row r="128" spans="1:11" x14ac:dyDescent="0.35">
      <c r="C128" s="30" t="s">
        <v>193</v>
      </c>
      <c r="D128" s="31"/>
      <c r="E128" s="32"/>
      <c r="F128" s="33"/>
      <c r="G128" s="38">
        <v>9307.4699999999993</v>
      </c>
      <c r="H128" s="38">
        <v>1.33</v>
      </c>
      <c r="I128" s="35"/>
      <c r="J128" s="35"/>
      <c r="K128" s="36"/>
    </row>
    <row r="129" spans="1:11" x14ac:dyDescent="0.35">
      <c r="C129" s="21"/>
      <c r="D129" s="31"/>
      <c r="E129" s="32"/>
      <c r="F129" s="33"/>
      <c r="G129" s="34"/>
      <c r="H129" s="34"/>
      <c r="I129" s="35"/>
      <c r="J129" s="35"/>
      <c r="K129" s="36"/>
    </row>
    <row r="130" spans="1:11" x14ac:dyDescent="0.35">
      <c r="C130" s="30" t="s">
        <v>328</v>
      </c>
      <c r="D130" s="31"/>
      <c r="E130" s="32"/>
      <c r="F130" s="33"/>
      <c r="G130" s="34" t="s">
        <v>195</v>
      </c>
      <c r="H130" s="34" t="s">
        <v>195</v>
      </c>
      <c r="I130" s="35"/>
      <c r="J130" s="35"/>
      <c r="K130" s="36"/>
    </row>
    <row r="131" spans="1:11" x14ac:dyDescent="0.3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1:11" x14ac:dyDescent="0.35">
      <c r="C132" s="30" t="s">
        <v>329</v>
      </c>
      <c r="D132" s="31"/>
      <c r="E132" s="32"/>
      <c r="F132" s="33"/>
      <c r="G132" s="34" t="s">
        <v>195</v>
      </c>
      <c r="H132" s="34" t="s">
        <v>195</v>
      </c>
      <c r="I132" s="35"/>
      <c r="J132" s="35"/>
      <c r="K132" s="36"/>
    </row>
    <row r="133" spans="1:11" x14ac:dyDescent="0.35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11" x14ac:dyDescent="0.35">
      <c r="C134" s="30" t="s">
        <v>330</v>
      </c>
      <c r="D134" s="31"/>
      <c r="E134" s="32"/>
      <c r="F134" s="33"/>
      <c r="G134" s="34" t="s">
        <v>195</v>
      </c>
      <c r="H134" s="34" t="s">
        <v>195</v>
      </c>
      <c r="I134" s="35"/>
      <c r="J134" s="35"/>
      <c r="K134" s="36"/>
    </row>
    <row r="135" spans="1:11" x14ac:dyDescent="0.35">
      <c r="C135" s="21"/>
      <c r="D135" s="31"/>
      <c r="E135" s="32"/>
      <c r="F135" s="33"/>
      <c r="G135" s="34"/>
      <c r="H135" s="34"/>
      <c r="I135" s="35"/>
      <c r="J135" s="35"/>
      <c r="K135" s="36"/>
    </row>
    <row r="136" spans="1:11" x14ac:dyDescent="0.35">
      <c r="A136" s="28"/>
      <c r="B136" s="29"/>
      <c r="C136" s="30" t="s">
        <v>331</v>
      </c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C137" s="37" t="s">
        <v>332</v>
      </c>
      <c r="D137" s="31"/>
      <c r="E137" s="32"/>
      <c r="F137" s="33"/>
      <c r="G137" s="34"/>
      <c r="H137" s="34"/>
      <c r="I137" s="35"/>
      <c r="J137" s="35"/>
      <c r="K137" s="36"/>
    </row>
    <row r="138" spans="1:11" x14ac:dyDescent="0.35">
      <c r="B138" s="1" t="s">
        <v>333</v>
      </c>
      <c r="C138" s="21" t="s">
        <v>334</v>
      </c>
      <c r="D138" s="31" t="s">
        <v>335</v>
      </c>
      <c r="E138" s="32" t="s">
        <v>78</v>
      </c>
      <c r="F138" s="33">
        <v>105241000</v>
      </c>
      <c r="G138" s="34">
        <v>69501.16</v>
      </c>
      <c r="H138" s="34">
        <v>9.9499999999999993</v>
      </c>
      <c r="I138" s="35"/>
      <c r="J138" s="35"/>
      <c r="K138" s="36"/>
    </row>
    <row r="139" spans="1:11" x14ac:dyDescent="0.35">
      <c r="B139" s="1" t="s">
        <v>336</v>
      </c>
      <c r="C139" s="21" t="s">
        <v>337</v>
      </c>
      <c r="D139" s="31" t="s">
        <v>338</v>
      </c>
      <c r="E139" s="32" t="s">
        <v>78</v>
      </c>
      <c r="F139" s="33">
        <v>26730000</v>
      </c>
      <c r="G139" s="34">
        <v>22381.03</v>
      </c>
      <c r="H139" s="34">
        <v>3.21</v>
      </c>
      <c r="I139" s="35"/>
      <c r="J139" s="35"/>
      <c r="K139" s="36"/>
    </row>
    <row r="140" spans="1:11" x14ac:dyDescent="0.35">
      <c r="B140" s="1" t="s">
        <v>339</v>
      </c>
      <c r="C140" s="21" t="s">
        <v>340</v>
      </c>
      <c r="D140" s="31" t="s">
        <v>341</v>
      </c>
      <c r="E140" s="32" t="s">
        <v>78</v>
      </c>
      <c r="F140" s="33">
        <v>19500000</v>
      </c>
      <c r="G140" s="34">
        <v>16697.849999999999</v>
      </c>
      <c r="H140" s="34">
        <v>2.39</v>
      </c>
      <c r="I140" s="35"/>
      <c r="J140" s="35"/>
      <c r="K140" s="36"/>
    </row>
    <row r="141" spans="1:11" x14ac:dyDescent="0.35">
      <c r="C141" s="30" t="s">
        <v>193</v>
      </c>
      <c r="D141" s="31"/>
      <c r="E141" s="32"/>
      <c r="F141" s="33"/>
      <c r="G141" s="38">
        <v>108580.04</v>
      </c>
      <c r="H141" s="38">
        <v>15.55</v>
      </c>
      <c r="I141" s="35"/>
      <c r="J141" s="35"/>
      <c r="K141" s="36"/>
    </row>
    <row r="142" spans="1:11" x14ac:dyDescent="0.35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x14ac:dyDescent="0.35">
      <c r="C143" s="30" t="s">
        <v>342</v>
      </c>
      <c r="D143" s="31"/>
      <c r="E143" s="32"/>
      <c r="F143" s="33"/>
      <c r="G143" s="34" t="s">
        <v>195</v>
      </c>
      <c r="H143" s="34" t="s">
        <v>195</v>
      </c>
      <c r="I143" s="35"/>
      <c r="J143" s="35"/>
      <c r="K143" s="36"/>
    </row>
    <row r="144" spans="1:11" x14ac:dyDescent="0.35">
      <c r="C144" s="21"/>
      <c r="D144" s="31"/>
      <c r="E144" s="32"/>
      <c r="F144" s="33"/>
      <c r="G144" s="34"/>
      <c r="H144" s="34"/>
      <c r="I144" s="35"/>
      <c r="J144" s="35"/>
      <c r="K144" s="36"/>
    </row>
    <row r="145" spans="1:54" x14ac:dyDescent="0.35">
      <c r="C145" s="30" t="s">
        <v>343</v>
      </c>
      <c r="D145" s="31"/>
      <c r="E145" s="32"/>
      <c r="F145" s="33"/>
      <c r="G145" s="34" t="s">
        <v>195</v>
      </c>
      <c r="H145" s="34" t="s">
        <v>195</v>
      </c>
      <c r="I145" s="35"/>
      <c r="J145" s="35"/>
      <c r="K145" s="36"/>
    </row>
    <row r="146" spans="1:54" x14ac:dyDescent="0.35">
      <c r="C146" s="21"/>
      <c r="D146" s="31"/>
      <c r="E146" s="32"/>
      <c r="F146" s="33"/>
      <c r="G146" s="34"/>
      <c r="H146" s="34"/>
      <c r="I146" s="35"/>
      <c r="J146" s="35"/>
      <c r="K146" s="36"/>
    </row>
    <row r="147" spans="1:54" x14ac:dyDescent="0.35">
      <c r="C147" s="30" t="s">
        <v>344</v>
      </c>
      <c r="D147" s="31"/>
      <c r="E147" s="32"/>
      <c r="F147" s="33"/>
      <c r="G147" s="34" t="s">
        <v>195</v>
      </c>
      <c r="H147" s="34" t="s">
        <v>195</v>
      </c>
      <c r="I147" s="35"/>
      <c r="J147" s="35"/>
      <c r="K147" s="36"/>
    </row>
    <row r="148" spans="1:54" x14ac:dyDescent="0.35">
      <c r="C148" s="21"/>
      <c r="D148" s="31"/>
      <c r="E148" s="32"/>
      <c r="F148" s="33"/>
      <c r="G148" s="34"/>
      <c r="H148" s="34"/>
      <c r="I148" s="35"/>
      <c r="J148" s="35"/>
      <c r="K148" s="36"/>
    </row>
    <row r="149" spans="1:54" x14ac:dyDescent="0.35">
      <c r="C149" s="30" t="s">
        <v>345</v>
      </c>
      <c r="D149" s="31"/>
      <c r="E149" s="32"/>
      <c r="F149" s="33"/>
      <c r="G149" s="34" t="s">
        <v>195</v>
      </c>
      <c r="H149" s="34" t="s">
        <v>195</v>
      </c>
      <c r="I149" s="35"/>
      <c r="J149" s="35"/>
      <c r="K149" s="36"/>
    </row>
    <row r="150" spans="1:54" x14ac:dyDescent="0.35">
      <c r="C150" s="21"/>
      <c r="D150" s="31"/>
      <c r="E150" s="32"/>
      <c r="F150" s="33"/>
      <c r="G150" s="34"/>
      <c r="H150" s="34"/>
      <c r="I150" s="35"/>
      <c r="J150" s="35"/>
      <c r="K150" s="36"/>
    </row>
    <row r="151" spans="1:54" x14ac:dyDescent="0.35">
      <c r="C151" s="37" t="s">
        <v>346</v>
      </c>
      <c r="D151" s="31"/>
      <c r="E151" s="32"/>
      <c r="F151" s="33"/>
      <c r="G151" s="34"/>
      <c r="H151" s="34"/>
      <c r="I151" s="35"/>
      <c r="J151" s="35"/>
      <c r="K151" s="36"/>
    </row>
    <row r="152" spans="1:54" x14ac:dyDescent="0.35">
      <c r="B152" s="1" t="s">
        <v>347</v>
      </c>
      <c r="C152" s="21" t="s">
        <v>348</v>
      </c>
      <c r="D152" s="31"/>
      <c r="E152" s="32"/>
      <c r="F152" s="33"/>
      <c r="G152" s="34">
        <v>34154.03</v>
      </c>
      <c r="H152" s="34">
        <v>4.8899999999999997</v>
      </c>
      <c r="I152" s="35"/>
      <c r="J152" s="35"/>
      <c r="K152" s="36"/>
    </row>
    <row r="153" spans="1:54" x14ac:dyDescent="0.35">
      <c r="C153" s="30" t="s">
        <v>193</v>
      </c>
      <c r="D153" s="31"/>
      <c r="E153" s="32"/>
      <c r="F153" s="33"/>
      <c r="G153" s="38">
        <v>34154.03</v>
      </c>
      <c r="H153" s="38">
        <v>4.8899999999999997</v>
      </c>
      <c r="I153" s="35"/>
      <c r="J153" s="35"/>
      <c r="K153" s="36"/>
    </row>
    <row r="154" spans="1:54" x14ac:dyDescent="0.35">
      <c r="C154" s="21"/>
      <c r="D154" s="31"/>
      <c r="E154" s="32"/>
      <c r="F154" s="33"/>
      <c r="G154" s="34"/>
      <c r="H154" s="34"/>
      <c r="I154" s="35"/>
      <c r="J154" s="35"/>
      <c r="K154" s="36"/>
    </row>
    <row r="155" spans="1:54" x14ac:dyDescent="0.35">
      <c r="A155" s="28"/>
      <c r="B155" s="29"/>
      <c r="C155" s="30" t="s">
        <v>349</v>
      </c>
      <c r="D155" s="31"/>
      <c r="E155" s="32"/>
      <c r="F155" s="33"/>
      <c r="G155" s="34"/>
      <c r="H155" s="34"/>
      <c r="I155" s="35"/>
      <c r="J155" s="35"/>
      <c r="K155" s="36"/>
    </row>
    <row r="156" spans="1:54" s="2" customFormat="1" ht="13.5" x14ac:dyDescent="0.35">
      <c r="A156" s="29"/>
      <c r="B156" s="29"/>
      <c r="C156" s="21" t="s">
        <v>350</v>
      </c>
      <c r="D156" s="31"/>
      <c r="E156" s="32"/>
      <c r="F156" s="33"/>
      <c r="G156" s="34" t="s">
        <v>195</v>
      </c>
      <c r="H156" s="34" t="s">
        <v>195</v>
      </c>
      <c r="I156" s="35"/>
      <c r="J156" s="35"/>
      <c r="K156" s="36"/>
      <c r="L156" s="10"/>
      <c r="AI156" s="10"/>
      <c r="AV156" s="10"/>
      <c r="AX156" s="10"/>
      <c r="BB156" s="10"/>
    </row>
    <row r="157" spans="1:54" x14ac:dyDescent="0.35">
      <c r="B157" s="1"/>
      <c r="C157" s="21" t="s">
        <v>351</v>
      </c>
      <c r="D157" s="31"/>
      <c r="E157" s="32"/>
      <c r="F157" s="33"/>
      <c r="G157" s="34">
        <v>5652.52</v>
      </c>
      <c r="H157" s="34">
        <v>0.81</v>
      </c>
      <c r="I157" s="35"/>
      <c r="J157" s="35"/>
      <c r="K157" s="36"/>
    </row>
    <row r="158" spans="1:54" x14ac:dyDescent="0.35">
      <c r="C158" s="30" t="s">
        <v>193</v>
      </c>
      <c r="D158" s="31"/>
      <c r="E158" s="32"/>
      <c r="F158" s="33"/>
      <c r="G158" s="38">
        <v>5652.52</v>
      </c>
      <c r="H158" s="38">
        <v>0.81</v>
      </c>
      <c r="I158" s="35"/>
      <c r="J158" s="35"/>
      <c r="K158" s="36"/>
    </row>
    <row r="159" spans="1:54" x14ac:dyDescent="0.35">
      <c r="C159" s="21"/>
      <c r="D159" s="31"/>
      <c r="E159" s="32"/>
      <c r="F159" s="33"/>
      <c r="G159" s="34"/>
      <c r="H159" s="34"/>
      <c r="I159" s="35"/>
      <c r="J159" s="35"/>
      <c r="K159" s="36"/>
    </row>
    <row r="160" spans="1:54" ht="15" thickBot="1" x14ac:dyDescent="0.4">
      <c r="C160" s="39" t="s">
        <v>352</v>
      </c>
      <c r="D160" s="40"/>
      <c r="E160" s="41"/>
      <c r="F160" s="42"/>
      <c r="G160" s="43">
        <v>698314.08</v>
      </c>
      <c r="H160" s="43">
        <v>100</v>
      </c>
      <c r="I160" s="44"/>
      <c r="J160" s="44"/>
      <c r="K160" s="45"/>
    </row>
    <row r="163" spans="3:11" x14ac:dyDescent="0.35">
      <c r="C163" s="11" t="s">
        <v>353</v>
      </c>
    </row>
    <row r="164" spans="3:11" x14ac:dyDescent="0.35">
      <c r="C164" s="46" t="s">
        <v>354</v>
      </c>
      <c r="D164" s="46"/>
      <c r="E164" s="46"/>
      <c r="F164" s="46"/>
      <c r="G164" s="46"/>
      <c r="H164" s="46"/>
      <c r="I164" s="46"/>
      <c r="J164" s="46"/>
      <c r="K164" s="46"/>
    </row>
    <row r="165" spans="3:11" x14ac:dyDescent="0.35">
      <c r="C165" s="2" t="s">
        <v>355</v>
      </c>
    </row>
    <row r="166" spans="3:11" x14ac:dyDescent="0.35">
      <c r="C166" s="2" t="s">
        <v>356</v>
      </c>
    </row>
    <row r="167" spans="3:11" ht="30" customHeight="1" x14ac:dyDescent="0.35">
      <c r="C167" s="47" t="s">
        <v>357</v>
      </c>
      <c r="D167" s="48"/>
      <c r="E167" s="48"/>
      <c r="F167" s="48"/>
      <c r="G167" s="48"/>
      <c r="H167" s="48"/>
      <c r="I167" s="48"/>
      <c r="J167" s="48"/>
      <c r="K167" s="48"/>
    </row>
    <row r="168" spans="3:11" x14ac:dyDescent="0.35">
      <c r="C168" s="2" t="s">
        <v>358</v>
      </c>
    </row>
    <row r="170" spans="3:11" x14ac:dyDescent="0.35">
      <c r="C170" s="49" t="s">
        <v>359</v>
      </c>
      <c r="E170" s="49" t="s">
        <v>360</v>
      </c>
      <c r="F170" s="50"/>
    </row>
    <row r="171" spans="3:11" x14ac:dyDescent="0.35">
      <c r="E171" s="2" t="s">
        <v>361</v>
      </c>
    </row>
  </sheetData>
  <mergeCells count="1">
    <mergeCell ref="C167:K167"/>
  </mergeCells>
  <hyperlinks>
    <hyperlink ref="J2" location="'Index'!A1" display="'Index'!A1" xr:uid="{38E3CAB6-B2FB-4EE0-91F9-82F40C9576F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96</vt:i4>
      </vt:variant>
    </vt:vector>
  </HeadingPairs>
  <TitlesOfParts>
    <vt:vector size="97" baseType="lpstr">
      <vt:lpstr>SMAAF</vt:lpstr>
      <vt:lpstr>XDO_?CLASS_3?35?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XDO_?NAMCNAME?35?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XDO_?NPTF?35?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XDO_?TITL?35?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XDO_GROUP_?G_2?35?</vt:lpstr>
      <vt:lpstr>XDO_GROUP_?G_3?35?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2025-01-09T12:43:24Z</dcterms:created>
  <dcterms:modified xsi:type="dcterms:W3CDTF">2025-01-09T12:43:24Z</dcterms:modified>
</cp:coreProperties>
</file>