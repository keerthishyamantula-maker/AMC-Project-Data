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ugust\0708\July 2025\"/>
    </mc:Choice>
  </mc:AlternateContent>
  <xr:revisionPtr revIDLastSave="0" documentId="8_{99254487-DA56-4BA3-A400-0E9B954D4F5F}" xr6:coauthVersionLast="47" xr6:coauthVersionMax="47" xr10:uidLastSave="{00000000-0000-0000-0000-000000000000}"/>
  <bookViews>
    <workbookView xWindow="-110" yWindow="-110" windowWidth="19420" windowHeight="10300" xr2:uid="{DC0147EB-2CE1-49DE-8422-CAFE72749235}"/>
  </bookViews>
  <sheets>
    <sheet name="SMAAF" sheetId="1" r:id="rId1"/>
  </sheets>
  <externalReferences>
    <externalReference r:id="rId2"/>
  </externalReferences>
  <definedNames>
    <definedName name="_xlnm.Print_Area" localSheetId="0">SMAAF!$A$1:$C$193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5?">SMAAF!$C$8:$C$66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17?">[1]SCRF!#REF!</definedName>
    <definedName name="XDO_?FINAL_ISIN?168?">SMAAF!$D$10:$D$66</definedName>
    <definedName name="XDO_?FINAL_ISIN?169?">SMAAF!$D$10:$D$74</definedName>
    <definedName name="XDO_?FINAL_ISIN?170?">SMAAF!$D$10:$D$79</definedName>
    <definedName name="XDO_?FINAL_ISIN?171?">SMAAF!$D$10:$D$118</definedName>
    <definedName name="XDO_?FINAL_ISIN?172?">SMAAF!$D$10:$D$129</definedName>
    <definedName name="XDO_?FINAL_ISIN?173?">SMAAF!$D$10:$D$134</definedName>
    <definedName name="XDO_?FINAL_ISIN?174?">SMAAF!$D$10:$D$141</definedName>
    <definedName name="XDO_?FINAL_ISIN?175?">SMAAF!$D$10:$D$154</definedName>
    <definedName name="XDO_?FINAL_ISIN?176?">SMAAF!$D$10:$D$166</definedName>
    <definedName name="XDO_?FINAL_ISIN?177?">SMAAF!$D$10:$D$171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7?">#REF!</definedName>
    <definedName name="XDO_?FINAL_ISIN?8?">#REF!</definedName>
    <definedName name="XDO_?FINAL_MV?1?">#REF!</definedName>
    <definedName name="XDO_?FINAL_MV?117?">[1]SCRF!#REF!</definedName>
    <definedName name="XDO_?FINAL_MV?168?">SMAAF!$G$10:$G$66</definedName>
    <definedName name="XDO_?FINAL_MV?169?">SMAAF!$G$10:$G$74</definedName>
    <definedName name="XDO_?FINAL_MV?170?">SMAAF!$G$10:$G$79</definedName>
    <definedName name="XDO_?FINAL_MV?171?">SMAAF!$G$10:$G$118</definedName>
    <definedName name="XDO_?FINAL_MV?172?">SMAAF!$G$10:$G$129</definedName>
    <definedName name="XDO_?FINAL_MV?173?">SMAAF!$G$10:$G$134</definedName>
    <definedName name="XDO_?FINAL_MV?174?">SMAAF!$G$10:$G$141</definedName>
    <definedName name="XDO_?FINAL_MV?175?">SMAAF!$G$10:$G$154</definedName>
    <definedName name="XDO_?FINAL_MV?176?">SMAAF!$G$10:$G$166</definedName>
    <definedName name="XDO_?FINAL_MV?177?">SMAAF!$G$10:$G$171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7?">#REF!</definedName>
    <definedName name="XDO_?FINAL_MV?8?">#REF!</definedName>
    <definedName name="XDO_?FINAL_NAME?1?">#REF!</definedName>
    <definedName name="XDO_?FINAL_NAME?117?">[1]SCRF!#REF!</definedName>
    <definedName name="XDO_?FINAL_NAME?168?">SMAAF!$C$10:$C$66</definedName>
    <definedName name="XDO_?FINAL_NAME?169?">SMAAF!$C$10:$C$74</definedName>
    <definedName name="XDO_?FINAL_NAME?170?">SMAAF!$C$10:$C$79</definedName>
    <definedName name="XDO_?FINAL_NAME?171?">SMAAF!$C$10:$C$118</definedName>
    <definedName name="XDO_?FINAL_NAME?172?">SMAAF!$C$10:$C$129</definedName>
    <definedName name="XDO_?FINAL_NAME?173?">SMAAF!$C$10:$C$134</definedName>
    <definedName name="XDO_?FINAL_NAME?174?">SMAAF!$C$10:$C$141</definedName>
    <definedName name="XDO_?FINAL_NAME?175?">SMAAF!$C$10:$C$154</definedName>
    <definedName name="XDO_?FINAL_NAME?176?">SMAAF!$C$10:$C$166</definedName>
    <definedName name="XDO_?FINAL_NAME?177?">SMAAF!$C$10:$C$171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7?">#REF!</definedName>
    <definedName name="XDO_?FINAL_NAME?8?">#REF!</definedName>
    <definedName name="XDO_?FINAL_PER_NET?1?">#REF!</definedName>
    <definedName name="XDO_?FINAL_PER_NET?117?">[1]SCRF!#REF!</definedName>
    <definedName name="XDO_?FINAL_PER_NET?168?">SMAAF!$H$10:$H$66</definedName>
    <definedName name="XDO_?FINAL_PER_NET?169?">SMAAF!$H$10:$H$74</definedName>
    <definedName name="XDO_?FINAL_PER_NET?170?">SMAAF!$H$10:$H$79</definedName>
    <definedName name="XDO_?FINAL_PER_NET?171?">SMAAF!$H$10:$H$118</definedName>
    <definedName name="XDO_?FINAL_PER_NET?172?">SMAAF!$H$10:$H$129</definedName>
    <definedName name="XDO_?FINAL_PER_NET?173?">SMAAF!$H$10:$H$134</definedName>
    <definedName name="XDO_?FINAL_PER_NET?174?">SMAAF!$H$10:$H$141</definedName>
    <definedName name="XDO_?FINAL_PER_NET?175?">SMAAF!$H$10:$H$154</definedName>
    <definedName name="XDO_?FINAL_PER_NET?176?">SMAAF!$H$10:$H$166</definedName>
    <definedName name="XDO_?FINAL_PER_NET?177?">SMAAF!$H$10:$H$171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7?">#REF!</definedName>
    <definedName name="XDO_?FINAL_PER_NET?8?">#REF!</definedName>
    <definedName name="XDO_?FINAL_QUANTITE?1?">#REF!</definedName>
    <definedName name="XDO_?FINAL_QUANTITE?117?">[1]SCRF!#REF!</definedName>
    <definedName name="XDO_?FINAL_QUANTITE?168?">SMAAF!$F$10:$F$66</definedName>
    <definedName name="XDO_?FINAL_QUANTITE?169?">SMAAF!$F$10:$F$74</definedName>
    <definedName name="XDO_?FINAL_QUANTITE?170?">SMAAF!$F$10:$F$79</definedName>
    <definedName name="XDO_?FINAL_QUANTITE?171?">SMAAF!$F$10:$F$118</definedName>
    <definedName name="XDO_?FINAL_QUANTITE?172?">SMAAF!$F$10:$F$129</definedName>
    <definedName name="XDO_?FINAL_QUANTITE?173?">SMAAF!$F$10:$F$134</definedName>
    <definedName name="XDO_?FINAL_QUANTITE?174?">SMAAF!$F$10:$F$141</definedName>
    <definedName name="XDO_?FINAL_QUANTITE?175?">SMAAF!$F$10:$F$154</definedName>
    <definedName name="XDO_?FINAL_QUANTITE?176?">SMAAF!$F$10:$F$166</definedName>
    <definedName name="XDO_?FINAL_QUANTITE?177?">SMAAF!$F$10:$F$171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'[1]SBI Nifty200 Mom 30'!#REF!</definedName>
    <definedName name="XDO_?NAMC?134?">'[1]SBI Nifty100 Low Vol 30'!#REF!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5?">SMAAF!$C$2:$C$66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'[1]SBI Nifty200 Mom 30'!#REF!</definedName>
    <definedName name="XDO_?NDATE?134?">'[1]SBI Nifty100 Low Vol 30'!#REF!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'[1]SBI Nifty200 Mom 30'!#REF!</definedName>
    <definedName name="XDO_?NNPTF?134?">'[1]SBI Nifty100 Low Vol 30'!#REF!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17?">[1]SCRF!#REF!</definedName>
    <definedName name="XDO_?NOVAL?168?">SMAAF!$B$10:$B$66</definedName>
    <definedName name="XDO_?NOVAL?169?">SMAAF!$B$10:$B$74</definedName>
    <definedName name="XDO_?NOVAL?170?">SMAAF!$B$10:$B$79</definedName>
    <definedName name="XDO_?NOVAL?171?">SMAAF!$B$10:$B$118</definedName>
    <definedName name="XDO_?NOVAL?172?">SMAAF!$B$10:$B$129</definedName>
    <definedName name="XDO_?NOVAL?173?">SMAAF!$B$10:$B$134</definedName>
    <definedName name="XDO_?NOVAL?174?">SMAAF!$B$10:$B$141</definedName>
    <definedName name="XDO_?NOVAL?175?">SMAAF!$B$10:$B$154</definedName>
    <definedName name="XDO_?NOVAL?176?">SMAAF!$B$10:$B$166</definedName>
    <definedName name="XDO_?NOVAL?177?">SMAAF!$B$10:$B$171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5?">SMAAF!$D$2:$D$66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17?">[1]SCRF!#REF!</definedName>
    <definedName name="XDO_?RATING?168?">SMAAF!$E$10:$E$66</definedName>
    <definedName name="XDO_?RATING?169?">SMAAF!$E$10:$E$74</definedName>
    <definedName name="XDO_?RATING?170?">SMAAF!$E$10:$E$79</definedName>
    <definedName name="XDO_?RATING?171?">SMAAF!$E$10:$E$118</definedName>
    <definedName name="XDO_?RATING?172?">SMAAF!$E$10:$E$129</definedName>
    <definedName name="XDO_?RATING?173?">SMAAF!$E$10:$E$134</definedName>
    <definedName name="XDO_?RATING?174?">SMAAF!$E$10:$E$141</definedName>
    <definedName name="XDO_?RATING?175?">SMAAF!$E$10:$E$154</definedName>
    <definedName name="XDO_?RATING?176?">SMAAF!$E$10:$E$166</definedName>
    <definedName name="XDO_?RATING?177?">SMAAF!$E$10:$E$171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7?">#REF!</definedName>
    <definedName name="XDO_?RATING?8?">#REF!</definedName>
    <definedName name="XDO_?REMARKS?1?">#REF!</definedName>
    <definedName name="XDO_?REMARKS?117?">[1]SCRF!#REF!</definedName>
    <definedName name="XDO_?REMARKS?168?">SMAAF!$K$10:$K$66</definedName>
    <definedName name="XDO_?REMARKS?169?">SMAAF!$K$10:$K$74</definedName>
    <definedName name="XDO_?REMARKS?170?">SMAAF!$K$10:$K$79</definedName>
    <definedName name="XDO_?REMARKS?171?">SMAAF!$K$10:$K$118</definedName>
    <definedName name="XDO_?REMARKS?172?">SMAAF!$K$10:$K$129</definedName>
    <definedName name="XDO_?REMARKS?173?">SMAAF!$K$10:$K$134</definedName>
    <definedName name="XDO_?REMARKS?174?">SMAAF!$K$10:$K$141</definedName>
    <definedName name="XDO_?REMARKS?175?">SMAAF!$K$10:$K$154</definedName>
    <definedName name="XDO_?REMARKS?176?">SMAAF!$K$10:$K$166</definedName>
    <definedName name="XDO_?REMARKS?177?">SMAAF!$K$10:$K$171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5?">SMAAF!$A$8:$A$66</definedName>
    <definedName name="XDO_?TITL?4?">#REF!</definedName>
    <definedName name="XDO_?TITL?7?">#REF!</definedName>
    <definedName name="XDO_?TITL?8?">#REF!</definedName>
    <definedName name="XDO_?YTM?1?">#REF!</definedName>
    <definedName name="XDO_?YTM?117?">[1]SCRF!#REF!</definedName>
    <definedName name="XDO_?YTM?168?">SMAAF!$I$10:$I$66</definedName>
    <definedName name="XDO_?YTM?169?">SMAAF!$I$10:$I$74</definedName>
    <definedName name="XDO_?YTM?170?">SMAAF!$I$10:$I$79</definedName>
    <definedName name="XDO_?YTM?171?">SMAAF!$I$10:$I$118</definedName>
    <definedName name="XDO_?YTM?172?">SMAAF!$I$10:$I$129</definedName>
    <definedName name="XDO_?YTM?173?">SMAAF!$I$10:$I$134</definedName>
    <definedName name="XDO_?YTM?174?">SMAAF!$I$10:$I$141</definedName>
    <definedName name="XDO_?YTM?175?">SMAAF!$I$10:$I$154</definedName>
    <definedName name="XDO_?YTM?176?">SMAAF!$I$10:$I$166</definedName>
    <definedName name="XDO_?YTM?177?">SMAAF!$I$10:$I$171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5?">SMAAF!$2:$174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5?">SMAAF!$8:$173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3?">[1]SSF!#REF!</definedName>
    <definedName name="XDO_GROUP_?G_4?117?">[1]SCRF!#REF!</definedName>
    <definedName name="XDO_GROUP_?G_4?168?">SMAAF!$B$10:$IV$66</definedName>
    <definedName name="XDO_GROUP_?G_4?169?">SMAAF!$B$74:$IV$74</definedName>
    <definedName name="XDO_GROUP_?G_4?170?">SMAAF!$B$78:$IV$79</definedName>
    <definedName name="XDO_GROUP_?G_4?171?">SMAAF!$B$88:$IV$118</definedName>
    <definedName name="XDO_GROUP_?G_4?172?">SMAAF!$B$126:$IV$129</definedName>
    <definedName name="XDO_GROUP_?G_4?173?">SMAAF!$B$133:$IV$134</definedName>
    <definedName name="XDO_GROUP_?G_4?174?">SMAAF!$B$141:$IV$141</definedName>
    <definedName name="XDO_GROUP_?G_4?175?">SMAAF!$B$152:$IV$154</definedName>
    <definedName name="XDO_GROUP_?G_4?176?">SMAAF!$B$166:$IV$166</definedName>
    <definedName name="XDO_GROUP_?G_4?177?">SMAAF!$B$171:$IV$171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539?">[1]SETFSILVER!#REF!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G84" i="1"/>
</calcChain>
</file>

<file path=xl/sharedStrings.xml><?xml version="1.0" encoding="utf-8"?>
<sst xmlns="http://schemas.openxmlformats.org/spreadsheetml/2006/main" count="531" uniqueCount="395">
  <si>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</si>
  <si>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</si>
  <si>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</si>
  <si>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</si>
  <si>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</si>
  <si>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</si>
  <si>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</si>
  <si>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</si>
  <si>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</si>
  <si>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</si>
  <si>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</si>
  <si>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</si>
  <si>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</si>
  <si>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</si>
  <si>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</si>
  <si>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</si>
  <si>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</si>
  <si>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</si>
  <si>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</si>
  <si>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</si>
  <si>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</si>
  <si>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</si>
  <si>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</si>
  <si>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</si>
  <si>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</si>
  <si>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101207</t>
  </si>
  <si>
    <t>Restaurant Brands Asia Ltd.</t>
  </si>
  <si>
    <t>INE07T201019</t>
  </si>
  <si>
    <t>Leisure Services</t>
  </si>
  <si>
    <t>100019</t>
  </si>
  <si>
    <t>ITC Ltd.</t>
  </si>
  <si>
    <t>INE154A01025</t>
  </si>
  <si>
    <t>Diversified FMCG</t>
  </si>
  <si>
    <t>100558</t>
  </si>
  <si>
    <t>Privi Speciality Chemicals Ltd.</t>
  </si>
  <si>
    <t>INE959A01019</t>
  </si>
  <si>
    <t>Chemicals &amp; Petrochemicals</t>
  </si>
  <si>
    <t>102512</t>
  </si>
  <si>
    <t>Vishal Mega Mart Ltd.</t>
  </si>
  <si>
    <t>INE01EA01019</t>
  </si>
  <si>
    <t>Retailing</t>
  </si>
  <si>
    <t>100055</t>
  </si>
  <si>
    <t>The Federal Bank Ltd.</t>
  </si>
  <si>
    <t>INE171A01029</t>
  </si>
  <si>
    <t>100771</t>
  </si>
  <si>
    <t>Bandhan Bank Ltd.</t>
  </si>
  <si>
    <t>INE545U01014</t>
  </si>
  <si>
    <t>100675</t>
  </si>
  <si>
    <t>VRL Logistics Ltd.</t>
  </si>
  <si>
    <t>INE366I01010</t>
  </si>
  <si>
    <t>Transport Services</t>
  </si>
  <si>
    <t>100037</t>
  </si>
  <si>
    <t>HCL Technologies Ltd.</t>
  </si>
  <si>
    <t>INE860A01027</t>
  </si>
  <si>
    <t>IT - Software</t>
  </si>
  <si>
    <t>100380</t>
  </si>
  <si>
    <t>Bajaj Finserv Ltd.</t>
  </si>
  <si>
    <t>INE918I01026</t>
  </si>
  <si>
    <t>Finance</t>
  </si>
  <si>
    <t>101390</t>
  </si>
  <si>
    <t>PB Fintech Ltd.</t>
  </si>
  <si>
    <t>INE417T01026</t>
  </si>
  <si>
    <t>Financial Technology (Fintech)</t>
  </si>
  <si>
    <t>100092</t>
  </si>
  <si>
    <t>Bank of Baroda</t>
  </si>
  <si>
    <t>INE028A01039</t>
  </si>
  <si>
    <t>101370</t>
  </si>
  <si>
    <t>Gokaldas Exports Ltd.</t>
  </si>
  <si>
    <t>INE887G01027</t>
  </si>
  <si>
    <t>Textiles &amp; Apparels</t>
  </si>
  <si>
    <t>100169</t>
  </si>
  <si>
    <t>Indian Oil Corporation Ltd.</t>
  </si>
  <si>
    <t>INE242A01010</t>
  </si>
  <si>
    <t>100024</t>
  </si>
  <si>
    <t>Axis Bank Ltd.</t>
  </si>
  <si>
    <t>INE238A01034</t>
  </si>
  <si>
    <t>100374</t>
  </si>
  <si>
    <t>CESC Ltd.</t>
  </si>
  <si>
    <t>INE486A01021</t>
  </si>
  <si>
    <t>Power</t>
  </si>
  <si>
    <t>100112</t>
  </si>
  <si>
    <t>Punjab National Bank</t>
  </si>
  <si>
    <t>INE160A01022</t>
  </si>
  <si>
    <t>100043</t>
  </si>
  <si>
    <t>ZF Commercial Vehicle Control Systems India Ltd.</t>
  </si>
  <si>
    <t>INE342J01019</t>
  </si>
  <si>
    <t>Auto Components</t>
  </si>
  <si>
    <t>100176</t>
  </si>
  <si>
    <t>GAIL (India) Ltd.</t>
  </si>
  <si>
    <t>INE129A01019</t>
  </si>
  <si>
    <t>Gas</t>
  </si>
  <si>
    <t>100010</t>
  </si>
  <si>
    <t>State Bank of India</t>
  </si>
  <si>
    <t>INE062A01020</t>
  </si>
  <si>
    <t>100370</t>
  </si>
  <si>
    <t>Biocon Ltd.</t>
  </si>
  <si>
    <t>INE376G01013</t>
  </si>
  <si>
    <t>Pharmaceuticals &amp; Biotechnology</t>
  </si>
  <si>
    <t>100011</t>
  </si>
  <si>
    <t>Wipro Ltd.</t>
  </si>
  <si>
    <t>INE075A01022</t>
  </si>
  <si>
    <t>100421</t>
  </si>
  <si>
    <t>Dabur India Ltd.</t>
  </si>
  <si>
    <t>INE016A01026</t>
  </si>
  <si>
    <t>Personal Products</t>
  </si>
  <si>
    <t>100292</t>
  </si>
  <si>
    <t>Steel Authority of India Ltd.</t>
  </si>
  <si>
    <t>INE114A01011</t>
  </si>
  <si>
    <t>Ferrous Metals</t>
  </si>
  <si>
    <t>101378</t>
  </si>
  <si>
    <t>FSN E-Commerce Ventures Ltd.</t>
  </si>
  <si>
    <t>INE388Y01029</t>
  </si>
  <si>
    <t>100447</t>
  </si>
  <si>
    <t>LTIMindtree Ltd.</t>
  </si>
  <si>
    <t>INE214T01019</t>
  </si>
  <si>
    <t>100147</t>
  </si>
  <si>
    <t>Tech Mahindra Ltd.</t>
  </si>
  <si>
    <t>INE669C01036</t>
  </si>
  <si>
    <t>100154</t>
  </si>
  <si>
    <t>Colgate Palmolive (India) Ltd.</t>
  </si>
  <si>
    <t>INE259A01022</t>
  </si>
  <si>
    <t>100259</t>
  </si>
  <si>
    <t>Kalpataru Projects International Ltd.</t>
  </si>
  <si>
    <t>INE220B01022</t>
  </si>
  <si>
    <t>Construction</t>
  </si>
  <si>
    <t>100505</t>
  </si>
  <si>
    <t>ICICI Prudential Life Insurance Company Ltd.</t>
  </si>
  <si>
    <t>INE726G01019</t>
  </si>
  <si>
    <t>Insurance</t>
  </si>
  <si>
    <t>100536</t>
  </si>
  <si>
    <t>VIP Industries Ltd.</t>
  </si>
  <si>
    <t>INE054A01027</t>
  </si>
  <si>
    <t>Consumer Durables</t>
  </si>
  <si>
    <t>100111</t>
  </si>
  <si>
    <t>Oil &amp; Natural Gas Corporation Ltd.</t>
  </si>
  <si>
    <t>INE213A01029</t>
  </si>
  <si>
    <t>Oil</t>
  </si>
  <si>
    <t>100047</t>
  </si>
  <si>
    <t>Emami Ltd.</t>
  </si>
  <si>
    <t>INE548C01032</t>
  </si>
  <si>
    <t>100003</t>
  </si>
  <si>
    <t>Infosys Ltd.</t>
  </si>
  <si>
    <t>INE009A01021</t>
  </si>
  <si>
    <t>100139</t>
  </si>
  <si>
    <t>UPL Ltd.</t>
  </si>
  <si>
    <t>INE628A01036</t>
  </si>
  <si>
    <t>Fertilizers &amp; Agrochemicals</t>
  </si>
  <si>
    <t>100550</t>
  </si>
  <si>
    <t>Sagar Cements Ltd.</t>
  </si>
  <si>
    <t>INE229C01021</t>
  </si>
  <si>
    <t>Cement &amp; Cement Products</t>
  </si>
  <si>
    <t>102005</t>
  </si>
  <si>
    <t>Tata Technologies Ltd.</t>
  </si>
  <si>
    <t>INE142M01025</t>
  </si>
  <si>
    <t>IT - Services</t>
  </si>
  <si>
    <t>100012</t>
  </si>
  <si>
    <t>ICICI Bank Ltd.</t>
  </si>
  <si>
    <t>INE090A01021</t>
  </si>
  <si>
    <t>100694</t>
  </si>
  <si>
    <t>Indian Energy Exchange Ltd.</t>
  </si>
  <si>
    <t>INE022Q01020</t>
  </si>
  <si>
    <t>Capital Markets</t>
  </si>
  <si>
    <t>101550</t>
  </si>
  <si>
    <t>Life Insurance Corporation of India</t>
  </si>
  <si>
    <t>INE0J1Y01017</t>
  </si>
  <si>
    <t>100256</t>
  </si>
  <si>
    <t>City Union Bank Ltd.</t>
  </si>
  <si>
    <t>INE491A01021</t>
  </si>
  <si>
    <t>100227</t>
  </si>
  <si>
    <t>Jubilant Foodworks Ltd.</t>
  </si>
  <si>
    <t>INE797F01020</t>
  </si>
  <si>
    <t>100224</t>
  </si>
  <si>
    <t>Mahindra Lifespace Developers Ltd.</t>
  </si>
  <si>
    <t>INE813A01018</t>
  </si>
  <si>
    <t>Realty</t>
  </si>
  <si>
    <t>100085</t>
  </si>
  <si>
    <t>Ashoka Buildcon Ltd.</t>
  </si>
  <si>
    <t>INE442H01029</t>
  </si>
  <si>
    <t>100107</t>
  </si>
  <si>
    <t>Max Financial Services Ltd.</t>
  </si>
  <si>
    <t>INE180A01020</t>
  </si>
  <si>
    <t>100743</t>
  </si>
  <si>
    <t>HeidelbergCement India Ltd.</t>
  </si>
  <si>
    <t>INE578A01017</t>
  </si>
  <si>
    <t>100095</t>
  </si>
  <si>
    <t>Bharti Airtel Ltd.</t>
  </si>
  <si>
    <t>INE397D01024</t>
  </si>
  <si>
    <t>Telecom - Services</t>
  </si>
  <si>
    <t>101200</t>
  </si>
  <si>
    <t>Gland Pharma Ltd.</t>
  </si>
  <si>
    <t>INE068V01023</t>
  </si>
  <si>
    <t>100723</t>
  </si>
  <si>
    <t>Ashiana Housing Ltd.</t>
  </si>
  <si>
    <t>INE365D01021</t>
  </si>
  <si>
    <t>100223</t>
  </si>
  <si>
    <t>United Spirits Ltd.</t>
  </si>
  <si>
    <t>INE854D01024</t>
  </si>
  <si>
    <t>Beverages</t>
  </si>
  <si>
    <t>100768</t>
  </si>
  <si>
    <t>V-Mart Retail Ltd.</t>
  </si>
  <si>
    <t>INE665J01013</t>
  </si>
  <si>
    <t>101469</t>
  </si>
  <si>
    <t>Equitas Small Finance Bank Ltd.</t>
  </si>
  <si>
    <t>INE063P01018</t>
  </si>
  <si>
    <t>100165</t>
  </si>
  <si>
    <t>Rallis India Ltd.</t>
  </si>
  <si>
    <t>INE613A01020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</si>
  <si>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</si>
  <si>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</si>
  <si>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</si>
  <si>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</si>
  <si>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</si>
  <si>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</si>
  <si>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</si>
  <si>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</si>
  <si>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</si>
  <si>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</si>
  <si>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</si>
  <si>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</si>
  <si>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</si>
  <si>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</si>
  <si>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</si>
  <si>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</si>
  <si>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</si>
  <si>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</si>
  <si>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</si>
  <si>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</si>
  <si>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</si>
  <si>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</si>
  <si>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</si>
  <si>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</si>
  <si>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</si>
  <si>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</si>
  <si>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</si>
  <si>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Cholamandalam Investment &amp; Finance Co. Ltd.</t>
  </si>
  <si>
    <t>INE121A08PJ0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</si>
  <si>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</si>
  <si>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</si>
  <si>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</si>
  <si>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</si>
  <si>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</si>
  <si>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</si>
  <si>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AAA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</si>
  <si>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</si>
  <si>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</si>
  <si>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</si>
  <si>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</si>
  <si>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</si>
  <si>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</si>
  <si>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</si>
  <si>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</si>
  <si>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705316</t>
  </si>
  <si>
    <t>INE121A08PT9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</si>
  <si>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</si>
  <si>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</si>
  <si>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</si>
  <si>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</si>
  <si>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</si>
  <si>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</si>
  <si>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</si>
  <si>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</si>
  <si>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</si>
  <si>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</si>
  <si>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</si>
  <si>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705332</t>
  </si>
  <si>
    <t>TATA Capital Ltd.</t>
  </si>
  <si>
    <t>INE976I07CZ6</t>
  </si>
  <si>
    <t>705031</t>
  </si>
  <si>
    <t>Godrej Industries Ltd.</t>
  </si>
  <si>
    <t>INE233A08154</t>
  </si>
  <si>
    <t>705002</t>
  </si>
  <si>
    <t>Bank of Baroda( Tier II Bond under Basel III )</t>
  </si>
  <si>
    <t>INE028A08364</t>
  </si>
  <si>
    <t>705442</t>
  </si>
  <si>
    <t>Indostar Capital Finance Ltd.</t>
  </si>
  <si>
    <t>INE896L07AK6</t>
  </si>
  <si>
    <t>704589</t>
  </si>
  <si>
    <t>Tata Projects Ltd.</t>
  </si>
  <si>
    <t>INE725H08162</t>
  </si>
  <si>
    <t>IND AA</t>
  </si>
  <si>
    <t>704592</t>
  </si>
  <si>
    <t>INE414G07IR6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</si>
  <si>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</si>
  <si>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</si>
  <si>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</si>
  <si>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</si>
  <si>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</si>
  <si>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</si>
  <si>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</si>
  <si>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</si>
  <si>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</si>
  <si>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</si>
  <si>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</si>
  <si>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</si>
  <si>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</si>
  <si>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704484</t>
  </si>
  <si>
    <t>JM Financial Asset Reconstruction Company Ltd.</t>
  </si>
  <si>
    <t>INE265J07555</t>
  </si>
  <si>
    <t>CRISIL AA-</t>
  </si>
  <si>
    <t>705530</t>
  </si>
  <si>
    <t>Godrej Seeds &amp; Genetics Ltd.</t>
  </si>
  <si>
    <t>INE316Z08022</t>
  </si>
  <si>
    <t>705531</t>
  </si>
  <si>
    <t>INE316Z08048</t>
  </si>
  <si>
    <t>705533</t>
  </si>
  <si>
    <t>INE316Z08014</t>
  </si>
  <si>
    <t>705532</t>
  </si>
  <si>
    <t>INE316Z08030</t>
  </si>
  <si>
    <t>704636</t>
  </si>
  <si>
    <t>Torrent Power Ltd.</t>
  </si>
  <si>
    <t>INE813H07341</t>
  </si>
  <si>
    <t>704655</t>
  </si>
  <si>
    <t>INE896L07942</t>
  </si>
  <si>
    <t>704850</t>
  </si>
  <si>
    <t>Sundaram Finance Ltd.</t>
  </si>
  <si>
    <t>INE660A08CI7</t>
  </si>
  <si>
    <t>704693</t>
  </si>
  <si>
    <t>INE950O07446</t>
  </si>
  <si>
    <t>704778</t>
  </si>
  <si>
    <t>INE121A07SB3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</si>
  <si>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</si>
  <si>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</si>
  <si>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</si>
  <si>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</si>
  <si>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</si>
  <si>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</si>
  <si>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</si>
  <si>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</si>
  <si>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</si>
  <si>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</si>
  <si>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</si>
  <si>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</si>
  <si>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</si>
  <si>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900321</t>
  </si>
  <si>
    <t>6.33% CGL 2035</t>
  </si>
  <si>
    <t>IN0020250026</t>
  </si>
  <si>
    <t>Sovereign</t>
  </si>
  <si>
    <t>900313</t>
  </si>
  <si>
    <t>6.79% CGL 2034</t>
  </si>
  <si>
    <t>IN0020240126</t>
  </si>
  <si>
    <t>900312</t>
  </si>
  <si>
    <t>7.09% CGL 2054</t>
  </si>
  <si>
    <t>IN0020240118</t>
  </si>
  <si>
    <t>900308</t>
  </si>
  <si>
    <t>7.34% CGL 2064</t>
  </si>
  <si>
    <t>IN0020240035</t>
  </si>
  <si>
    <t>e) State Government Securities</t>
  </si>
  <si>
    <t>1906058</t>
  </si>
  <si>
    <t>6.90% State Government of Bihar 2035</t>
  </si>
  <si>
    <t>IN1320250021</t>
  </si>
  <si>
    <t>1905931</t>
  </si>
  <si>
    <t>7.10% State Government of West Bengal 2045</t>
  </si>
  <si>
    <t>IN3420240290</t>
  </si>
  <si>
    <t>MONEY MARKET INSTRUMENTS</t>
  </si>
  <si>
    <t>a) Commercial Paper</t>
  </si>
  <si>
    <t>b) Certificate of Deposits</t>
  </si>
  <si>
    <t>1102792</t>
  </si>
  <si>
    <t>Union Bank of India</t>
  </si>
  <si>
    <t>INE692A16IC3</t>
  </si>
  <si>
    <t>[ICRA]A1+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</si>
  <si>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</si>
  <si>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</si>
  <si>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</si>
  <si>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</si>
  <si>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</si>
  <si>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</si>
  <si>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</si>
  <si>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</si>
  <si>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</si>
  <si>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</si>
  <si>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</si>
  <si>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</si>
  <si>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</si>
  <si>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</si>
  <si>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</si>
  <si>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</si>
  <si>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</si>
  <si>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</si>
  <si>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</si>
  <si>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</si>
  <si>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108250100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</si>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</sst>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10" fillId="2" borderId="17" xfId="1" applyFont="1" applyFill="1" applyBorder="1" applyAlignment="1">
      <alignment horizontal="right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 applyAlignment="1">
      <alignment horizontal="center"/>
    </xf>
    <xf numFmtId="164" fontId="3" fillId="0" borderId="20" xfId="1" applyNumberFormat="1" applyFont="1" applyBorder="1"/>
    <xf numFmtId="43" fontId="6" fillId="0" borderId="21" xfId="1" applyFont="1" applyBorder="1" applyAlignment="1">
      <alignment horizontal="right"/>
    </xf>
    <xf numFmtId="43" fontId="3" fillId="0" borderId="22" xfId="1" applyFont="1" applyBorder="1"/>
    <xf numFmtId="165" fontId="3" fillId="0" borderId="23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408C755A-7BFB-4BC7-835D-ACEF1FBBB0EA}"/>
    <cellStyle name="Style 1" xfId="3" xr:uid="{CA744EEE-E188-42DD-9852-F97A90C81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2608633</xdr:colOff>
      <xdr:row>192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3C430-BE5A-472D-8891-E0BDAE12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44932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185</xdr:row>
      <xdr:rowOff>0</xdr:rowOff>
    </xdr:from>
    <xdr:to>
      <xdr:col>5</xdr:col>
      <xdr:colOff>989978</xdr:colOff>
      <xdr:row>192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BB389-B26E-48E5-8DCB-405ED2D24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449320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ugust\0708\July%202025\All%20Schemes%20Monthly%20Portfolio%20-%20as%20on%2031st%20July%202025.xlsx" TargetMode="External"/><Relationship Id="rId1" Type="http://schemas.openxmlformats.org/officeDocument/2006/relationships/externalLinkPath" Target="All%20Schemes%20Monthly%20Portfolio%20-%20as%20on%2031st%20Jul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09DD-AF8C-409C-9DB0-37DF53EEA31D}">
  <sheetPr codeName="Sheet135"/>
  <dimension ref="A1:IV185"/>
  <sheetViews>
    <sheetView showGridLines="0" tabSelected="1" zoomScale="90" zoomScaleNormal="90" workbookViewId="0">
      <pane ySplit="6" topLeftCell="A167" activePane="bottomLeft" state="frozen"/>
      <selection activeCell="A7" sqref="A7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45869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1331000</v>
      </c>
      <c r="G10" s="34">
        <v>26862.240000000002</v>
      </c>
      <c r="H10" s="34">
        <v>2.85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23911.439999999999</v>
      </c>
      <c r="H11" s="34">
        <v>2.5299999999999998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16691.099999999999</v>
      </c>
      <c r="H12" s="34">
        <v>1.77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3800000</v>
      </c>
      <c r="G13" s="34">
        <v>15654.1</v>
      </c>
      <c r="H13" s="34">
        <v>1.66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611361</v>
      </c>
      <c r="G14" s="34">
        <v>15619.66</v>
      </c>
      <c r="H14" s="34">
        <v>1.65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10000000</v>
      </c>
      <c r="G15" s="34">
        <v>13954</v>
      </c>
      <c r="H15" s="34">
        <v>1.48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20</v>
      </c>
      <c r="F16" s="33">
        <v>6500000</v>
      </c>
      <c r="G16" s="34">
        <v>13157.95</v>
      </c>
      <c r="H16" s="34">
        <v>1.39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20</v>
      </c>
      <c r="F17" s="33">
        <v>7500000</v>
      </c>
      <c r="G17" s="34">
        <v>12606</v>
      </c>
      <c r="H17" s="34">
        <v>1.34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1870000</v>
      </c>
      <c r="G18" s="34">
        <v>11610.83</v>
      </c>
      <c r="H18" s="34">
        <v>1.23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780000</v>
      </c>
      <c r="G19" s="34">
        <v>11449.62</v>
      </c>
      <c r="H19" s="34">
        <v>1.21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58</v>
      </c>
      <c r="F20" s="33">
        <v>500000</v>
      </c>
      <c r="G20" s="34">
        <v>9740</v>
      </c>
      <c r="H20" s="34">
        <v>1.03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62</v>
      </c>
      <c r="F21" s="33">
        <v>522500</v>
      </c>
      <c r="G21" s="34">
        <v>9468.2199999999993</v>
      </c>
      <c r="H21" s="34">
        <v>1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20</v>
      </c>
      <c r="F22" s="33">
        <v>3900000</v>
      </c>
      <c r="G22" s="34">
        <v>9276.93</v>
      </c>
      <c r="H22" s="34">
        <v>0.98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1054254</v>
      </c>
      <c r="G23" s="34">
        <v>8958.52</v>
      </c>
      <c r="H23" s="34">
        <v>0.95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24</v>
      </c>
      <c r="F24" s="33">
        <v>6000000</v>
      </c>
      <c r="G24" s="34">
        <v>8737.2000000000007</v>
      </c>
      <c r="H24" s="34">
        <v>0.93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20</v>
      </c>
      <c r="F25" s="33">
        <v>800000</v>
      </c>
      <c r="G25" s="34">
        <v>8547.2000000000007</v>
      </c>
      <c r="H25" s="34">
        <v>0.91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5000000</v>
      </c>
      <c r="G26" s="34">
        <v>8475.5</v>
      </c>
      <c r="H26" s="34">
        <v>0.9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20</v>
      </c>
      <c r="F27" s="33">
        <v>8000000</v>
      </c>
      <c r="G27" s="34">
        <v>8430.4</v>
      </c>
      <c r="H27" s="34">
        <v>0.89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86</v>
      </c>
      <c r="F28" s="33">
        <v>63550</v>
      </c>
      <c r="G28" s="34">
        <v>8379.7000000000007</v>
      </c>
      <c r="H28" s="34">
        <v>0.89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90</v>
      </c>
      <c r="F29" s="33">
        <v>4350297</v>
      </c>
      <c r="G29" s="34">
        <v>7729.61</v>
      </c>
      <c r="H29" s="34">
        <v>0.82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20</v>
      </c>
      <c r="F30" s="33">
        <v>950000</v>
      </c>
      <c r="G30" s="34">
        <v>7567.23</v>
      </c>
      <c r="H30" s="34">
        <v>0.8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1916589</v>
      </c>
      <c r="G31" s="34">
        <v>7501.53</v>
      </c>
      <c r="H31" s="34">
        <v>0.79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54</v>
      </c>
      <c r="F32" s="33">
        <v>3000000</v>
      </c>
      <c r="G32" s="34">
        <v>7449</v>
      </c>
      <c r="H32" s="34">
        <v>0.79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1400000</v>
      </c>
      <c r="G33" s="34">
        <v>7406</v>
      </c>
      <c r="H33" s="34">
        <v>0.78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5630100</v>
      </c>
      <c r="G34" s="34">
        <v>6992.58</v>
      </c>
      <c r="H34" s="34">
        <v>0.74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40</v>
      </c>
      <c r="F35" s="33">
        <v>3300000</v>
      </c>
      <c r="G35" s="34">
        <v>6917.46</v>
      </c>
      <c r="H35" s="34">
        <v>0.73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54</v>
      </c>
      <c r="F36" s="33">
        <v>135247</v>
      </c>
      <c r="G36" s="34">
        <v>6905.71</v>
      </c>
      <c r="H36" s="34">
        <v>0.73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54</v>
      </c>
      <c r="F37" s="33">
        <v>465000</v>
      </c>
      <c r="G37" s="34">
        <v>6806.21</v>
      </c>
      <c r="H37" s="34">
        <v>0.72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104</v>
      </c>
      <c r="F38" s="33">
        <v>300000</v>
      </c>
      <c r="G38" s="34">
        <v>6735.9</v>
      </c>
      <c r="H38" s="34">
        <v>0.71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561076</v>
      </c>
      <c r="G39" s="34">
        <v>6437.79</v>
      </c>
      <c r="H39" s="34">
        <v>0.68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1012032</v>
      </c>
      <c r="G40" s="34">
        <v>6233.61</v>
      </c>
      <c r="H40" s="34">
        <v>0.66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1374277</v>
      </c>
      <c r="G41" s="34">
        <v>6160.2</v>
      </c>
      <c r="H41" s="34">
        <v>0.65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2500000</v>
      </c>
      <c r="G42" s="34">
        <v>6025</v>
      </c>
      <c r="H42" s="34">
        <v>0.64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104</v>
      </c>
      <c r="F43" s="33">
        <v>1000000</v>
      </c>
      <c r="G43" s="34">
        <v>6006.5</v>
      </c>
      <c r="H43" s="34">
        <v>0.64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54</v>
      </c>
      <c r="F44" s="33">
        <v>380000</v>
      </c>
      <c r="G44" s="34">
        <v>5734.2</v>
      </c>
      <c r="H44" s="34">
        <v>0.61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810348</v>
      </c>
      <c r="G45" s="34">
        <v>5703.23</v>
      </c>
      <c r="H45" s="34">
        <v>0.6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2321227</v>
      </c>
      <c r="G46" s="34">
        <v>5656.13</v>
      </c>
      <c r="H46" s="34">
        <v>0.6</v>
      </c>
      <c r="I46" s="35"/>
      <c r="J46" s="35"/>
      <c r="K46" s="36"/>
    </row>
    <row r="47" spans="2:11" x14ac:dyDescent="0.35">
      <c r="B47" s="1" t="s">
        <v>151</v>
      </c>
      <c r="C47" s="21" t="s">
        <v>152</v>
      </c>
      <c r="D47" s="31" t="s">
        <v>153</v>
      </c>
      <c r="E47" s="32" t="s">
        <v>154</v>
      </c>
      <c r="F47" s="33">
        <v>711574</v>
      </c>
      <c r="G47" s="34">
        <v>4997.03</v>
      </c>
      <c r="H47" s="34">
        <v>0.53</v>
      </c>
      <c r="I47" s="35"/>
      <c r="J47" s="35"/>
      <c r="K47" s="36"/>
    </row>
    <row r="48" spans="2:11" x14ac:dyDescent="0.35">
      <c r="B48" s="1" t="s">
        <v>155</v>
      </c>
      <c r="C48" s="21" t="s">
        <v>156</v>
      </c>
      <c r="D48" s="31" t="s">
        <v>157</v>
      </c>
      <c r="E48" s="32" t="s">
        <v>20</v>
      </c>
      <c r="F48" s="33">
        <v>320000</v>
      </c>
      <c r="G48" s="34">
        <v>4740.4799999999996</v>
      </c>
      <c r="H48" s="34">
        <v>0.5</v>
      </c>
      <c r="I48" s="35"/>
      <c r="J48" s="35"/>
      <c r="K48" s="36"/>
    </row>
    <row r="49" spans="2:11" x14ac:dyDescent="0.35">
      <c r="B49" s="1" t="s">
        <v>158</v>
      </c>
      <c r="C49" s="21" t="s">
        <v>159</v>
      </c>
      <c r="D49" s="31" t="s">
        <v>160</v>
      </c>
      <c r="E49" s="32" t="s">
        <v>161</v>
      </c>
      <c r="F49" s="33">
        <v>3500000</v>
      </c>
      <c r="G49" s="34">
        <v>4735.5</v>
      </c>
      <c r="H49" s="34">
        <v>0.5</v>
      </c>
      <c r="I49" s="35"/>
      <c r="J49" s="35"/>
      <c r="K49" s="36"/>
    </row>
    <row r="50" spans="2:11" x14ac:dyDescent="0.35">
      <c r="B50" s="1" t="s">
        <v>162</v>
      </c>
      <c r="C50" s="21" t="s">
        <v>163</v>
      </c>
      <c r="D50" s="31" t="s">
        <v>164</v>
      </c>
      <c r="E50" s="32" t="s">
        <v>128</v>
      </c>
      <c r="F50" s="33">
        <v>500000</v>
      </c>
      <c r="G50" s="34">
        <v>4475</v>
      </c>
      <c r="H50" s="34">
        <v>0.47</v>
      </c>
      <c r="I50" s="35"/>
      <c r="J50" s="35"/>
      <c r="K50" s="36"/>
    </row>
    <row r="51" spans="2:11" x14ac:dyDescent="0.35">
      <c r="B51" s="1" t="s">
        <v>165</v>
      </c>
      <c r="C51" s="21" t="s">
        <v>166</v>
      </c>
      <c r="D51" s="31" t="s">
        <v>167</v>
      </c>
      <c r="E51" s="32" t="s">
        <v>20</v>
      </c>
      <c r="F51" s="33">
        <v>1960755</v>
      </c>
      <c r="G51" s="34">
        <v>4201.51</v>
      </c>
      <c r="H51" s="34">
        <v>0.45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28</v>
      </c>
      <c r="F52" s="33">
        <v>639295</v>
      </c>
      <c r="G52" s="34">
        <v>4190.58</v>
      </c>
      <c r="H52" s="34">
        <v>0.44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1040661</v>
      </c>
      <c r="G53" s="34">
        <v>3876.98</v>
      </c>
      <c r="H53" s="34">
        <v>0.41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124</v>
      </c>
      <c r="F54" s="33">
        <v>1693793</v>
      </c>
      <c r="G54" s="34">
        <v>3409.77</v>
      </c>
      <c r="H54" s="34">
        <v>0.36</v>
      </c>
      <c r="I54" s="35"/>
      <c r="J54" s="35"/>
      <c r="K54" s="36"/>
    </row>
    <row r="55" spans="2:11" x14ac:dyDescent="0.35">
      <c r="B55" s="1" t="s">
        <v>178</v>
      </c>
      <c r="C55" s="21" t="s">
        <v>179</v>
      </c>
      <c r="D55" s="31" t="s">
        <v>180</v>
      </c>
      <c r="E55" s="32" t="s">
        <v>128</v>
      </c>
      <c r="F55" s="33">
        <v>219043</v>
      </c>
      <c r="G55" s="34">
        <v>3288.71</v>
      </c>
      <c r="H55" s="34">
        <v>0.35</v>
      </c>
      <c r="I55" s="35"/>
      <c r="J55" s="35"/>
      <c r="K55" s="36"/>
    </row>
    <row r="56" spans="2:11" x14ac:dyDescent="0.35">
      <c r="B56" s="1" t="s">
        <v>181</v>
      </c>
      <c r="C56" s="21" t="s">
        <v>182</v>
      </c>
      <c r="D56" s="31" t="s">
        <v>183</v>
      </c>
      <c r="E56" s="32" t="s">
        <v>150</v>
      </c>
      <c r="F56" s="33">
        <v>1517867</v>
      </c>
      <c r="G56" s="34">
        <v>3231.54</v>
      </c>
      <c r="H56" s="34">
        <v>0.34</v>
      </c>
      <c r="I56" s="35"/>
      <c r="J56" s="35"/>
      <c r="K56" s="36"/>
    </row>
    <row r="57" spans="2:11" x14ac:dyDescent="0.35">
      <c r="B57" s="1" t="s">
        <v>184</v>
      </c>
      <c r="C57" s="21" t="s">
        <v>185</v>
      </c>
      <c r="D57" s="31" t="s">
        <v>186</v>
      </c>
      <c r="E57" s="32" t="s">
        <v>187</v>
      </c>
      <c r="F57" s="33">
        <v>160000</v>
      </c>
      <c r="G57" s="34">
        <v>3062.88</v>
      </c>
      <c r="H57" s="34">
        <v>0.32</v>
      </c>
      <c r="I57" s="35"/>
      <c r="J57" s="35"/>
      <c r="K57" s="36"/>
    </row>
    <row r="58" spans="2:11" x14ac:dyDescent="0.35">
      <c r="B58" s="1" t="s">
        <v>188</v>
      </c>
      <c r="C58" s="21" t="s">
        <v>189</v>
      </c>
      <c r="D58" s="31" t="s">
        <v>190</v>
      </c>
      <c r="E58" s="32" t="s">
        <v>97</v>
      </c>
      <c r="F58" s="33">
        <v>147079</v>
      </c>
      <c r="G58" s="34">
        <v>3036.89</v>
      </c>
      <c r="H58" s="34">
        <v>0.32</v>
      </c>
      <c r="I58" s="35"/>
      <c r="J58" s="35"/>
      <c r="K58" s="36"/>
    </row>
    <row r="59" spans="2:11" x14ac:dyDescent="0.35">
      <c r="B59" s="1" t="s">
        <v>191</v>
      </c>
      <c r="C59" s="21" t="s">
        <v>192</v>
      </c>
      <c r="D59" s="31" t="s">
        <v>193</v>
      </c>
      <c r="E59" s="32" t="s">
        <v>174</v>
      </c>
      <c r="F59" s="33">
        <v>829665</v>
      </c>
      <c r="G59" s="34">
        <v>2625.06</v>
      </c>
      <c r="H59" s="34">
        <v>0.28000000000000003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197</v>
      </c>
      <c r="F60" s="33">
        <v>179171</v>
      </c>
      <c r="G60" s="34">
        <v>2401.25</v>
      </c>
      <c r="H60" s="34">
        <v>0.25</v>
      </c>
      <c r="I60" s="35"/>
      <c r="J60" s="35"/>
      <c r="K60" s="36"/>
    </row>
    <row r="61" spans="2:11" x14ac:dyDescent="0.35">
      <c r="B61" s="1" t="s">
        <v>198</v>
      </c>
      <c r="C61" s="21" t="s">
        <v>199</v>
      </c>
      <c r="D61" s="31" t="s">
        <v>200</v>
      </c>
      <c r="E61" s="32" t="s">
        <v>40</v>
      </c>
      <c r="F61" s="33">
        <v>282904</v>
      </c>
      <c r="G61" s="34">
        <v>2236.36</v>
      </c>
      <c r="H61" s="34">
        <v>0.24</v>
      </c>
      <c r="I61" s="35"/>
      <c r="J61" s="35"/>
      <c r="K61" s="36"/>
    </row>
    <row r="62" spans="2:11" x14ac:dyDescent="0.35">
      <c r="B62" s="1" t="s">
        <v>201</v>
      </c>
      <c r="C62" s="21" t="s">
        <v>202</v>
      </c>
      <c r="D62" s="31" t="s">
        <v>203</v>
      </c>
      <c r="E62" s="32" t="s">
        <v>20</v>
      </c>
      <c r="F62" s="33">
        <v>3465000</v>
      </c>
      <c r="G62" s="34">
        <v>2053.36</v>
      </c>
      <c r="H62" s="34">
        <v>0.22</v>
      </c>
      <c r="I62" s="35"/>
      <c r="J62" s="35"/>
      <c r="K62" s="36"/>
    </row>
    <row r="63" spans="2:11" x14ac:dyDescent="0.35">
      <c r="B63" s="1" t="s">
        <v>204</v>
      </c>
      <c r="C63" s="21" t="s">
        <v>205</v>
      </c>
      <c r="D63" s="31" t="s">
        <v>206</v>
      </c>
      <c r="E63" s="32" t="s">
        <v>146</v>
      </c>
      <c r="F63" s="33">
        <v>500000</v>
      </c>
      <c r="G63" s="34">
        <v>1882.25</v>
      </c>
      <c r="H63" s="34">
        <v>0.2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132</v>
      </c>
      <c r="F64" s="33">
        <v>677027</v>
      </c>
      <c r="G64" s="34">
        <v>1226.77</v>
      </c>
      <c r="H64" s="34">
        <v>0.13</v>
      </c>
      <c r="I64" s="35"/>
      <c r="J64" s="35"/>
      <c r="K64" s="36"/>
    </row>
    <row r="65" spans="2:11" x14ac:dyDescent="0.35">
      <c r="B65" s="1" t="s">
        <v>210</v>
      </c>
      <c r="C65" s="21" t="s">
        <v>211</v>
      </c>
      <c r="D65" s="31" t="s">
        <v>212</v>
      </c>
      <c r="E65" s="32" t="s">
        <v>213</v>
      </c>
      <c r="F65" s="33">
        <v>75000</v>
      </c>
      <c r="G65" s="34">
        <v>749.85</v>
      </c>
      <c r="H65" s="34">
        <v>0.08</v>
      </c>
      <c r="I65" s="35"/>
      <c r="J65" s="35"/>
      <c r="K65" s="36"/>
    </row>
    <row r="66" spans="2:11" x14ac:dyDescent="0.35">
      <c r="B66" s="1" t="s">
        <v>214</v>
      </c>
      <c r="C66" s="21" t="s">
        <v>215</v>
      </c>
      <c r="D66" s="31" t="s">
        <v>216</v>
      </c>
      <c r="E66" s="32" t="s">
        <v>150</v>
      </c>
      <c r="F66" s="33">
        <v>22541</v>
      </c>
      <c r="G66" s="34">
        <v>97.05</v>
      </c>
      <c r="H66" s="34">
        <v>0.01</v>
      </c>
      <c r="I66" s="35"/>
      <c r="J66" s="35"/>
      <c r="K66" s="36"/>
    </row>
    <row r="67" spans="2:11" x14ac:dyDescent="0.35">
      <c r="C67" s="30" t="s">
        <v>217</v>
      </c>
      <c r="D67" s="31"/>
      <c r="E67" s="32"/>
      <c r="F67" s="33"/>
      <c r="G67" s="38">
        <v>422017.32000000007</v>
      </c>
      <c r="H67" s="38">
        <v>44.680000000000007</v>
      </c>
      <c r="I67" s="35"/>
      <c r="J67" s="35"/>
      <c r="K67" s="36"/>
    </row>
    <row r="68" spans="2:11" x14ac:dyDescent="0.35">
      <c r="C68" s="30"/>
      <c r="D68" s="31"/>
      <c r="E68" s="32"/>
      <c r="F68" s="33"/>
      <c r="G68" s="39"/>
      <c r="H68" s="39"/>
      <c r="I68" s="35"/>
      <c r="J68" s="35"/>
      <c r="K68" s="36"/>
    </row>
    <row r="69" spans="2:11" x14ac:dyDescent="0.35">
      <c r="C69" s="30" t="s">
        <v>218</v>
      </c>
      <c r="D69" s="31"/>
      <c r="E69" s="32"/>
      <c r="F69" s="33"/>
      <c r="G69" s="34" t="s">
        <v>219</v>
      </c>
      <c r="H69" s="34" t="s">
        <v>219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220</v>
      </c>
      <c r="D71" s="31"/>
      <c r="E71" s="32"/>
      <c r="F71" s="33"/>
      <c r="G71" s="34" t="s">
        <v>219</v>
      </c>
      <c r="H71" s="34" t="s">
        <v>219</v>
      </c>
      <c r="I71" s="35"/>
      <c r="J71" s="35"/>
      <c r="K71" s="36"/>
    </row>
    <row r="72" spans="2:11" x14ac:dyDescent="0.35">
      <c r="C72" s="30"/>
      <c r="D72" s="31"/>
      <c r="E72" s="32"/>
      <c r="F72" s="33"/>
      <c r="G72" s="39"/>
      <c r="H72" s="39"/>
      <c r="I72" s="35"/>
      <c r="J72" s="35"/>
      <c r="K72" s="36"/>
    </row>
    <row r="73" spans="2:11" x14ac:dyDescent="0.35">
      <c r="C73" s="37" t="s">
        <v>221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B74" s="1" t="s">
        <v>222</v>
      </c>
      <c r="C74" s="21" t="s">
        <v>223</v>
      </c>
      <c r="D74" s="31" t="s">
        <v>224</v>
      </c>
      <c r="E74" s="32" t="s">
        <v>225</v>
      </c>
      <c r="F74" s="33">
        <v>2600000</v>
      </c>
      <c r="G74" s="34">
        <v>3406</v>
      </c>
      <c r="H74" s="34">
        <v>0.36</v>
      </c>
      <c r="I74" s="35"/>
      <c r="J74" s="35"/>
      <c r="K74" s="36"/>
    </row>
    <row r="75" spans="2:11" x14ac:dyDescent="0.35">
      <c r="C75" s="30" t="s">
        <v>217</v>
      </c>
      <c r="D75" s="31"/>
      <c r="E75" s="32"/>
      <c r="F75" s="33"/>
      <c r="G75" s="38">
        <v>3406</v>
      </c>
      <c r="H75" s="38">
        <v>0.36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7" t="s">
        <v>226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B78" s="1" t="s">
        <v>227</v>
      </c>
      <c r="C78" s="21" t="s">
        <v>228</v>
      </c>
      <c r="D78" s="31" t="s">
        <v>229</v>
      </c>
      <c r="E78" s="32" t="s">
        <v>174</v>
      </c>
      <c r="F78" s="33">
        <v>7664234</v>
      </c>
      <c r="G78" s="34">
        <v>24117.81</v>
      </c>
      <c r="H78" s="34">
        <v>2.5499999999999998</v>
      </c>
      <c r="I78" s="35"/>
      <c r="J78" s="35"/>
      <c r="K78" s="36"/>
    </row>
    <row r="79" spans="2:11" x14ac:dyDescent="0.35">
      <c r="B79" s="1" t="s">
        <v>230</v>
      </c>
      <c r="C79" s="21" t="s">
        <v>231</v>
      </c>
      <c r="D79" s="31" t="s">
        <v>232</v>
      </c>
      <c r="E79" s="32" t="s">
        <v>174</v>
      </c>
      <c r="F79" s="33">
        <v>4900000</v>
      </c>
      <c r="G79" s="34">
        <v>19388.810000000001</v>
      </c>
      <c r="H79" s="34">
        <v>2.0499999999999998</v>
      </c>
      <c r="I79" s="35"/>
      <c r="J79" s="35"/>
      <c r="K79" s="36"/>
    </row>
    <row r="80" spans="2:11" x14ac:dyDescent="0.35">
      <c r="C80" s="30" t="s">
        <v>217</v>
      </c>
      <c r="D80" s="31"/>
      <c r="E80" s="32"/>
      <c r="F80" s="33"/>
      <c r="G80" s="38">
        <v>43506.62</v>
      </c>
      <c r="H80" s="38">
        <v>4.5999999999999996</v>
      </c>
      <c r="I80" s="35"/>
      <c r="J80" s="35"/>
      <c r="K80" s="36"/>
    </row>
    <row r="81" spans="1:11" x14ac:dyDescent="0.35">
      <c r="C81" s="30"/>
      <c r="D81" s="31"/>
      <c r="E81" s="32"/>
      <c r="F81" s="33"/>
      <c r="G81" s="32"/>
      <c r="H81" s="32"/>
      <c r="I81" s="35"/>
      <c r="J81" s="35"/>
      <c r="K81" s="36"/>
    </row>
    <row r="82" spans="1:11" x14ac:dyDescent="0.35">
      <c r="C82" s="37" t="s">
        <v>233</v>
      </c>
      <c r="D82" s="31"/>
      <c r="E82" s="32"/>
      <c r="F82" s="33"/>
      <c r="G82" s="32"/>
      <c r="H82" s="32"/>
      <c r="I82" s="35"/>
      <c r="J82" s="35"/>
      <c r="K82" s="36"/>
    </row>
    <row r="83" spans="1:11" x14ac:dyDescent="0.35">
      <c r="C83" s="21" t="s">
        <v>234</v>
      </c>
      <c r="D83" s="31" t="s">
        <v>235</v>
      </c>
      <c r="E83" s="32" t="s">
        <v>58</v>
      </c>
      <c r="F83" s="33">
        <v>6000</v>
      </c>
      <c r="G83" s="34">
        <v>6908.95</v>
      </c>
      <c r="H83" s="34">
        <v>0.73</v>
      </c>
      <c r="I83" s="35">
        <v>7.16</v>
      </c>
      <c r="J83" s="35"/>
      <c r="K83" s="36" t="s">
        <v>236</v>
      </c>
    </row>
    <row r="84" spans="1:11" x14ac:dyDescent="0.35">
      <c r="C84" s="30" t="s">
        <v>217</v>
      </c>
      <c r="D84" s="31"/>
      <c r="E84" s="32"/>
      <c r="F84" s="33"/>
      <c r="G84" s="38">
        <f>+G83</f>
        <v>6908.95</v>
      </c>
      <c r="H84" s="38">
        <f>+H83</f>
        <v>0.73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237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7" t="s">
        <v>238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B88" s="1" t="s">
        <v>239</v>
      </c>
      <c r="C88" s="21" t="s">
        <v>240</v>
      </c>
      <c r="D88" s="31" t="s">
        <v>241</v>
      </c>
      <c r="E88" s="32" t="s">
        <v>242</v>
      </c>
      <c r="F88" s="33">
        <v>20000</v>
      </c>
      <c r="G88" s="34">
        <v>20944</v>
      </c>
      <c r="H88" s="34">
        <v>2.2200000000000002</v>
      </c>
      <c r="I88" s="35">
        <v>7.4016000000000002</v>
      </c>
      <c r="J88" s="35"/>
      <c r="K88" s="36" t="s">
        <v>236</v>
      </c>
    </row>
    <row r="89" spans="1:11" x14ac:dyDescent="0.35">
      <c r="B89" s="1" t="s">
        <v>243</v>
      </c>
      <c r="C89" s="21" t="s">
        <v>244</v>
      </c>
      <c r="D89" s="31" t="s">
        <v>245</v>
      </c>
      <c r="E89" s="32" t="s">
        <v>246</v>
      </c>
      <c r="F89" s="33">
        <v>20000</v>
      </c>
      <c r="G89" s="34">
        <v>20439.62</v>
      </c>
      <c r="H89" s="34">
        <v>2.17</v>
      </c>
      <c r="I89" s="35">
        <v>7.5038</v>
      </c>
      <c r="J89" s="35"/>
      <c r="K89" s="36" t="s">
        <v>236</v>
      </c>
    </row>
    <row r="90" spans="1:11" x14ac:dyDescent="0.35">
      <c r="B90" s="1" t="s">
        <v>247</v>
      </c>
      <c r="C90" s="21" t="s">
        <v>248</v>
      </c>
      <c r="D90" s="31" t="s">
        <v>249</v>
      </c>
      <c r="E90" s="32" t="s">
        <v>250</v>
      </c>
      <c r="F90" s="33">
        <v>20000</v>
      </c>
      <c r="G90" s="34">
        <v>20392.66</v>
      </c>
      <c r="H90" s="34">
        <v>2.16</v>
      </c>
      <c r="I90" s="35">
        <v>7.5549999999999997</v>
      </c>
      <c r="J90" s="35"/>
      <c r="K90" s="36" t="s">
        <v>236</v>
      </c>
    </row>
    <row r="91" spans="1:11" x14ac:dyDescent="0.35">
      <c r="B91" s="1" t="s">
        <v>251</v>
      </c>
      <c r="C91" s="21" t="s">
        <v>234</v>
      </c>
      <c r="D91" s="31" t="s">
        <v>252</v>
      </c>
      <c r="E91" s="32" t="s">
        <v>246</v>
      </c>
      <c r="F91" s="33">
        <v>20000</v>
      </c>
      <c r="G91" s="34">
        <v>20386.54</v>
      </c>
      <c r="H91" s="34">
        <v>2.16</v>
      </c>
      <c r="I91" s="35">
        <v>8.6349999999999998</v>
      </c>
      <c r="J91" s="35"/>
      <c r="K91" s="36" t="s">
        <v>236</v>
      </c>
    </row>
    <row r="92" spans="1:11" x14ac:dyDescent="0.35">
      <c r="B92" s="1" t="s">
        <v>253</v>
      </c>
      <c r="C92" s="21" t="s">
        <v>254</v>
      </c>
      <c r="D92" s="31" t="s">
        <v>255</v>
      </c>
      <c r="E92" s="32" t="s">
        <v>256</v>
      </c>
      <c r="F92" s="33">
        <v>16000</v>
      </c>
      <c r="G92" s="34">
        <v>16180.88</v>
      </c>
      <c r="H92" s="34">
        <v>1.71</v>
      </c>
      <c r="I92" s="35">
        <v>7.165</v>
      </c>
      <c r="J92" s="35"/>
      <c r="K92" s="36" t="s">
        <v>236</v>
      </c>
    </row>
    <row r="93" spans="1:11" x14ac:dyDescent="0.35">
      <c r="B93" s="1" t="s">
        <v>257</v>
      </c>
      <c r="C93" s="21" t="s">
        <v>258</v>
      </c>
      <c r="D93" s="31" t="s">
        <v>259</v>
      </c>
      <c r="E93" s="32" t="s">
        <v>260</v>
      </c>
      <c r="F93" s="33">
        <v>15000</v>
      </c>
      <c r="G93" s="34">
        <v>15197.45</v>
      </c>
      <c r="H93" s="34">
        <v>1.61</v>
      </c>
      <c r="I93" s="35">
        <v>7.8928000000000003</v>
      </c>
      <c r="J93" s="35"/>
      <c r="K93" s="36" t="s">
        <v>236</v>
      </c>
    </row>
    <row r="94" spans="1:11" x14ac:dyDescent="0.35">
      <c r="B94" s="1" t="s">
        <v>261</v>
      </c>
      <c r="C94" s="21" t="s">
        <v>262</v>
      </c>
      <c r="D94" s="31" t="s">
        <v>263</v>
      </c>
      <c r="E94" s="32" t="s">
        <v>256</v>
      </c>
      <c r="F94" s="33">
        <v>15000</v>
      </c>
      <c r="G94" s="34">
        <v>15086.57</v>
      </c>
      <c r="H94" s="34">
        <v>1.6</v>
      </c>
      <c r="I94" s="35">
        <v>8.8949999999999996</v>
      </c>
      <c r="J94" s="35"/>
      <c r="K94" s="36" t="s">
        <v>236</v>
      </c>
    </row>
    <row r="95" spans="1:11" x14ac:dyDescent="0.35">
      <c r="B95" s="1" t="s">
        <v>264</v>
      </c>
      <c r="C95" s="21" t="s">
        <v>265</v>
      </c>
      <c r="D95" s="31" t="s">
        <v>266</v>
      </c>
      <c r="E95" s="32" t="s">
        <v>242</v>
      </c>
      <c r="F95" s="33">
        <v>11000</v>
      </c>
      <c r="G95" s="34">
        <v>11156.82</v>
      </c>
      <c r="H95" s="34">
        <v>1.18</v>
      </c>
      <c r="I95" s="35">
        <v>7.2355999999999998</v>
      </c>
      <c r="J95" s="35"/>
      <c r="K95" s="36" t="s">
        <v>236</v>
      </c>
    </row>
    <row r="96" spans="1:11" x14ac:dyDescent="0.35">
      <c r="B96" s="1" t="s">
        <v>267</v>
      </c>
      <c r="C96" s="21" t="s">
        <v>268</v>
      </c>
      <c r="D96" s="31" t="s">
        <v>269</v>
      </c>
      <c r="E96" s="32" t="s">
        <v>260</v>
      </c>
      <c r="F96" s="33">
        <v>10000</v>
      </c>
      <c r="G96" s="34">
        <v>10159.74</v>
      </c>
      <c r="H96" s="34">
        <v>1.08</v>
      </c>
      <c r="I96" s="35">
        <v>7.43</v>
      </c>
      <c r="J96" s="35"/>
      <c r="K96" s="36" t="s">
        <v>236</v>
      </c>
    </row>
    <row r="97" spans="2:11" x14ac:dyDescent="0.35">
      <c r="B97" s="1" t="s">
        <v>270</v>
      </c>
      <c r="C97" s="21" t="s">
        <v>271</v>
      </c>
      <c r="D97" s="31" t="s">
        <v>272</v>
      </c>
      <c r="E97" s="32" t="s">
        <v>242</v>
      </c>
      <c r="F97" s="33">
        <v>100</v>
      </c>
      <c r="G97" s="34">
        <v>10109.879999999999</v>
      </c>
      <c r="H97" s="34">
        <v>1.07</v>
      </c>
      <c r="I97" s="35">
        <v>7.2774000000000001</v>
      </c>
      <c r="J97" s="35">
        <v>7.2354806098500006</v>
      </c>
      <c r="K97" s="36" t="s">
        <v>236</v>
      </c>
    </row>
    <row r="98" spans="2:11" x14ac:dyDescent="0.35">
      <c r="B98" s="1" t="s">
        <v>273</v>
      </c>
      <c r="C98" s="21" t="s">
        <v>274</v>
      </c>
      <c r="D98" s="31" t="s">
        <v>275</v>
      </c>
      <c r="E98" s="32" t="s">
        <v>256</v>
      </c>
      <c r="F98" s="33">
        <v>10000</v>
      </c>
      <c r="G98" s="34">
        <v>9972.56</v>
      </c>
      <c r="H98" s="34">
        <v>1.06</v>
      </c>
      <c r="I98" s="35">
        <v>9.5496999999999996</v>
      </c>
      <c r="J98" s="35"/>
      <c r="K98" s="36" t="s">
        <v>236</v>
      </c>
    </row>
    <row r="99" spans="2:11" x14ac:dyDescent="0.35">
      <c r="B99" s="1" t="s">
        <v>276</v>
      </c>
      <c r="C99" s="21" t="s">
        <v>277</v>
      </c>
      <c r="D99" s="31" t="s">
        <v>278</v>
      </c>
      <c r="E99" s="32" t="s">
        <v>279</v>
      </c>
      <c r="F99" s="33">
        <v>9000</v>
      </c>
      <c r="G99" s="34">
        <v>9129.26</v>
      </c>
      <c r="H99" s="34">
        <v>0.97</v>
      </c>
      <c r="I99" s="35">
        <v>7.2348999999999997</v>
      </c>
      <c r="J99" s="35"/>
      <c r="K99" s="36" t="s">
        <v>236</v>
      </c>
    </row>
    <row r="100" spans="2:11" x14ac:dyDescent="0.35">
      <c r="B100" s="1" t="s">
        <v>280</v>
      </c>
      <c r="C100" s="21" t="s">
        <v>258</v>
      </c>
      <c r="D100" s="31" t="s">
        <v>281</v>
      </c>
      <c r="E100" s="32" t="s">
        <v>260</v>
      </c>
      <c r="F100" s="33">
        <v>7500</v>
      </c>
      <c r="G100" s="34">
        <v>7616.47</v>
      </c>
      <c r="H100" s="34">
        <v>0.81</v>
      </c>
      <c r="I100" s="35">
        <v>7.79</v>
      </c>
      <c r="J100" s="35"/>
      <c r="K100" s="36" t="s">
        <v>236</v>
      </c>
    </row>
    <row r="101" spans="2:11" x14ac:dyDescent="0.35">
      <c r="B101" s="1" t="s">
        <v>282</v>
      </c>
      <c r="C101" s="21" t="s">
        <v>283</v>
      </c>
      <c r="D101" s="31" t="s">
        <v>284</v>
      </c>
      <c r="E101" s="32" t="s">
        <v>242</v>
      </c>
      <c r="F101" s="33">
        <v>5000</v>
      </c>
      <c r="G101" s="34">
        <v>5084.1899999999996</v>
      </c>
      <c r="H101" s="34">
        <v>0.54</v>
      </c>
      <c r="I101" s="35">
        <v>7.1550000000000002</v>
      </c>
      <c r="J101" s="35"/>
      <c r="K101" s="36" t="s">
        <v>236</v>
      </c>
    </row>
    <row r="102" spans="2:11" x14ac:dyDescent="0.35">
      <c r="B102" s="1" t="s">
        <v>285</v>
      </c>
      <c r="C102" s="21" t="s">
        <v>286</v>
      </c>
      <c r="D102" s="31" t="s">
        <v>287</v>
      </c>
      <c r="E102" s="32" t="s">
        <v>242</v>
      </c>
      <c r="F102" s="33">
        <v>5000</v>
      </c>
      <c r="G102" s="34">
        <v>5070.7</v>
      </c>
      <c r="H102" s="34">
        <v>0.54</v>
      </c>
      <c r="I102" s="35">
        <v>7.24</v>
      </c>
      <c r="J102" s="35"/>
      <c r="K102" s="36" t="s">
        <v>236</v>
      </c>
    </row>
    <row r="103" spans="2:11" x14ac:dyDescent="0.35">
      <c r="B103" s="1" t="s">
        <v>288</v>
      </c>
      <c r="C103" s="21" t="s">
        <v>289</v>
      </c>
      <c r="D103" s="31" t="s">
        <v>290</v>
      </c>
      <c r="E103" s="32" t="s">
        <v>291</v>
      </c>
      <c r="F103" s="33">
        <v>5000</v>
      </c>
      <c r="G103" s="34">
        <v>5062.51</v>
      </c>
      <c r="H103" s="34">
        <v>0.54</v>
      </c>
      <c r="I103" s="35">
        <v>8.3953000000000007</v>
      </c>
      <c r="J103" s="35"/>
      <c r="K103" s="36" t="s">
        <v>236</v>
      </c>
    </row>
    <row r="104" spans="2:11" x14ac:dyDescent="0.35">
      <c r="B104" s="1" t="s">
        <v>292</v>
      </c>
      <c r="C104" s="21" t="s">
        <v>293</v>
      </c>
      <c r="D104" s="31" t="s">
        <v>294</v>
      </c>
      <c r="E104" s="32" t="s">
        <v>242</v>
      </c>
      <c r="F104" s="33">
        <v>5000</v>
      </c>
      <c r="G104" s="34">
        <v>5058.1000000000004</v>
      </c>
      <c r="H104" s="34">
        <v>0.54</v>
      </c>
      <c r="I104" s="35">
        <v>7.32</v>
      </c>
      <c r="J104" s="35"/>
      <c r="K104" s="36"/>
    </row>
    <row r="105" spans="2:11" x14ac:dyDescent="0.35">
      <c r="B105" s="1" t="s">
        <v>295</v>
      </c>
      <c r="C105" s="21" t="s">
        <v>296</v>
      </c>
      <c r="D105" s="31" t="s">
        <v>297</v>
      </c>
      <c r="E105" s="32" t="s">
        <v>298</v>
      </c>
      <c r="F105" s="33">
        <v>5000</v>
      </c>
      <c r="G105" s="34">
        <v>5034.7299999999996</v>
      </c>
      <c r="H105" s="34">
        <v>0.53</v>
      </c>
      <c r="I105" s="35">
        <v>8.3722999999999992</v>
      </c>
      <c r="J105" s="35"/>
      <c r="K105" s="36" t="s">
        <v>236</v>
      </c>
    </row>
    <row r="106" spans="2:11" x14ac:dyDescent="0.35">
      <c r="B106" s="1" t="s">
        <v>299</v>
      </c>
      <c r="C106" s="21" t="s">
        <v>300</v>
      </c>
      <c r="D106" s="31" t="s">
        <v>301</v>
      </c>
      <c r="E106" s="32" t="s">
        <v>250</v>
      </c>
      <c r="F106" s="33">
        <v>4500</v>
      </c>
      <c r="G106" s="34">
        <v>4490.8</v>
      </c>
      <c r="H106" s="34">
        <v>0.48</v>
      </c>
      <c r="I106" s="35">
        <v>7.8</v>
      </c>
      <c r="J106" s="35"/>
      <c r="K106" s="36" t="s">
        <v>236</v>
      </c>
    </row>
    <row r="107" spans="2:11" x14ac:dyDescent="0.35">
      <c r="B107" s="1" t="s">
        <v>302</v>
      </c>
      <c r="C107" s="21" t="s">
        <v>300</v>
      </c>
      <c r="D107" s="31" t="s">
        <v>303</v>
      </c>
      <c r="E107" s="32" t="s">
        <v>250</v>
      </c>
      <c r="F107" s="33">
        <v>4500</v>
      </c>
      <c r="G107" s="34">
        <v>4489.07</v>
      </c>
      <c r="H107" s="34">
        <v>0.48</v>
      </c>
      <c r="I107" s="35">
        <v>7.8</v>
      </c>
      <c r="J107" s="35"/>
      <c r="K107" s="36" t="s">
        <v>236</v>
      </c>
    </row>
    <row r="108" spans="2:11" x14ac:dyDescent="0.35">
      <c r="B108" s="1" t="s">
        <v>304</v>
      </c>
      <c r="C108" s="21" t="s">
        <v>300</v>
      </c>
      <c r="D108" s="31" t="s">
        <v>305</v>
      </c>
      <c r="E108" s="32" t="s">
        <v>250</v>
      </c>
      <c r="F108" s="33">
        <v>4500</v>
      </c>
      <c r="G108" s="34">
        <v>4486.67</v>
      </c>
      <c r="H108" s="34">
        <v>0.48</v>
      </c>
      <c r="I108" s="35">
        <v>7.8014000000000001</v>
      </c>
      <c r="J108" s="35"/>
      <c r="K108" s="36" t="s">
        <v>236</v>
      </c>
    </row>
    <row r="109" spans="2:11" x14ac:dyDescent="0.35">
      <c r="B109" s="1" t="s">
        <v>306</v>
      </c>
      <c r="C109" s="21" t="s">
        <v>300</v>
      </c>
      <c r="D109" s="31" t="s">
        <v>307</v>
      </c>
      <c r="E109" s="32" t="s">
        <v>250</v>
      </c>
      <c r="F109" s="33">
        <v>4500</v>
      </c>
      <c r="G109" s="34">
        <v>4486.07</v>
      </c>
      <c r="H109" s="34">
        <v>0.48</v>
      </c>
      <c r="I109" s="35">
        <v>7.8</v>
      </c>
      <c r="J109" s="35"/>
      <c r="K109" s="36" t="s">
        <v>236</v>
      </c>
    </row>
    <row r="110" spans="2:11" x14ac:dyDescent="0.35">
      <c r="B110" s="1" t="s">
        <v>308</v>
      </c>
      <c r="C110" s="21" t="s">
        <v>309</v>
      </c>
      <c r="D110" s="31" t="s">
        <v>310</v>
      </c>
      <c r="E110" s="32" t="s">
        <v>260</v>
      </c>
      <c r="F110" s="33">
        <v>4000</v>
      </c>
      <c r="G110" s="34">
        <v>4072.42</v>
      </c>
      <c r="H110" s="34">
        <v>0.43</v>
      </c>
      <c r="I110" s="35">
        <v>7.0049999999999999</v>
      </c>
      <c r="J110" s="35"/>
      <c r="K110" s="36" t="s">
        <v>236</v>
      </c>
    </row>
    <row r="111" spans="2:11" x14ac:dyDescent="0.35">
      <c r="B111" s="1" t="s">
        <v>311</v>
      </c>
      <c r="C111" s="21" t="s">
        <v>274</v>
      </c>
      <c r="D111" s="31" t="s">
        <v>312</v>
      </c>
      <c r="E111" s="32" t="s">
        <v>298</v>
      </c>
      <c r="F111" s="33">
        <v>3000</v>
      </c>
      <c r="G111" s="34">
        <v>3005.2</v>
      </c>
      <c r="H111" s="34">
        <v>0.32</v>
      </c>
      <c r="I111" s="35">
        <v>8.7451000000000008</v>
      </c>
      <c r="J111" s="35"/>
      <c r="K111" s="36" t="s">
        <v>236</v>
      </c>
    </row>
    <row r="112" spans="2:11" x14ac:dyDescent="0.35">
      <c r="B112" s="1" t="s">
        <v>313</v>
      </c>
      <c r="C112" s="21" t="s">
        <v>314</v>
      </c>
      <c r="D112" s="31" t="s">
        <v>315</v>
      </c>
      <c r="E112" s="32" t="s">
        <v>242</v>
      </c>
      <c r="F112" s="33">
        <v>2500</v>
      </c>
      <c r="G112" s="34">
        <v>2590.87</v>
      </c>
      <c r="H112" s="34">
        <v>0.27</v>
      </c>
      <c r="I112" s="35">
        <v>7.65</v>
      </c>
      <c r="J112" s="35"/>
      <c r="K112" s="36" t="s">
        <v>236</v>
      </c>
    </row>
    <row r="113" spans="2:11" x14ac:dyDescent="0.35">
      <c r="B113" s="1" t="s">
        <v>316</v>
      </c>
      <c r="C113" s="21" t="s">
        <v>283</v>
      </c>
      <c r="D113" s="31" t="s">
        <v>317</v>
      </c>
      <c r="E113" s="32" t="s">
        <v>242</v>
      </c>
      <c r="F113" s="33">
        <v>2500</v>
      </c>
      <c r="G113" s="34">
        <v>2564.6</v>
      </c>
      <c r="H113" s="34">
        <v>0.27</v>
      </c>
      <c r="I113" s="35">
        <v>7.5350000000000001</v>
      </c>
      <c r="J113" s="35"/>
      <c r="K113" s="36" t="s">
        <v>236</v>
      </c>
    </row>
    <row r="114" spans="2:11" x14ac:dyDescent="0.35">
      <c r="B114" s="1" t="s">
        <v>318</v>
      </c>
      <c r="C114" s="21" t="s">
        <v>234</v>
      </c>
      <c r="D114" s="31" t="s">
        <v>319</v>
      </c>
      <c r="E114" s="32" t="s">
        <v>246</v>
      </c>
      <c r="F114" s="33">
        <v>2500</v>
      </c>
      <c r="G114" s="34">
        <v>2551.44</v>
      </c>
      <c r="H114" s="34">
        <v>0.27</v>
      </c>
      <c r="I114" s="35">
        <v>7.2748999999999997</v>
      </c>
      <c r="J114" s="35"/>
      <c r="K114" s="36" t="s">
        <v>236</v>
      </c>
    </row>
    <row r="115" spans="2:11" x14ac:dyDescent="0.35">
      <c r="B115" s="1" t="s">
        <v>320</v>
      </c>
      <c r="C115" s="21" t="s">
        <v>262</v>
      </c>
      <c r="D115" s="31" t="s">
        <v>321</v>
      </c>
      <c r="E115" s="32" t="s">
        <v>256</v>
      </c>
      <c r="F115" s="33">
        <v>2500</v>
      </c>
      <c r="G115" s="34">
        <v>2516.1799999999998</v>
      </c>
      <c r="H115" s="34">
        <v>0.27</v>
      </c>
      <c r="I115" s="35">
        <v>8.8949999999999996</v>
      </c>
      <c r="J115" s="35"/>
      <c r="K115" s="36" t="s">
        <v>236</v>
      </c>
    </row>
    <row r="116" spans="2:11" x14ac:dyDescent="0.35">
      <c r="B116" s="1" t="s">
        <v>322</v>
      </c>
      <c r="C116" s="21" t="s">
        <v>323</v>
      </c>
      <c r="D116" s="31" t="s">
        <v>324</v>
      </c>
      <c r="E116" s="32" t="s">
        <v>291</v>
      </c>
      <c r="F116" s="33">
        <v>2400</v>
      </c>
      <c r="G116" s="34">
        <v>2422.96</v>
      </c>
      <c r="H116" s="34">
        <v>0.26</v>
      </c>
      <c r="I116" s="35">
        <v>7.7134</v>
      </c>
      <c r="J116" s="35"/>
      <c r="K116" s="36" t="s">
        <v>236</v>
      </c>
    </row>
    <row r="117" spans="2:11" x14ac:dyDescent="0.35">
      <c r="B117" s="1" t="s">
        <v>325</v>
      </c>
      <c r="C117" s="21" t="s">
        <v>326</v>
      </c>
      <c r="D117" s="31" t="s">
        <v>327</v>
      </c>
      <c r="E117" s="32" t="s">
        <v>279</v>
      </c>
      <c r="F117" s="33">
        <v>2300</v>
      </c>
      <c r="G117" s="34">
        <v>2320.0700000000002</v>
      </c>
      <c r="H117" s="34">
        <v>0.25</v>
      </c>
      <c r="I117" s="35">
        <v>7.25</v>
      </c>
      <c r="J117" s="35"/>
      <c r="K117" s="36"/>
    </row>
    <row r="118" spans="2:11" x14ac:dyDescent="0.35">
      <c r="B118" s="1" t="s">
        <v>328</v>
      </c>
      <c r="C118" s="21" t="s">
        <v>258</v>
      </c>
      <c r="D118" s="31" t="s">
        <v>329</v>
      </c>
      <c r="E118" s="32" t="s">
        <v>260</v>
      </c>
      <c r="F118" s="33">
        <v>1500</v>
      </c>
      <c r="G118" s="34">
        <v>1507.57</v>
      </c>
      <c r="H118" s="34">
        <v>0.16</v>
      </c>
      <c r="I118" s="35">
        <v>7.1398999999999999</v>
      </c>
      <c r="J118" s="35"/>
      <c r="K118" s="36" t="s">
        <v>236</v>
      </c>
    </row>
    <row r="119" spans="2:11" x14ac:dyDescent="0.35">
      <c r="C119" s="30" t="s">
        <v>217</v>
      </c>
      <c r="D119" s="31"/>
      <c r="E119" s="32"/>
      <c r="F119" s="33"/>
      <c r="G119" s="38">
        <v>253586.6</v>
      </c>
      <c r="H119" s="38">
        <v>26.91</v>
      </c>
      <c r="I119" s="35"/>
      <c r="J119" s="35"/>
      <c r="K119" s="36"/>
    </row>
    <row r="120" spans="2:11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2:11" x14ac:dyDescent="0.35">
      <c r="C121" s="30" t="s">
        <v>330</v>
      </c>
      <c r="D121" s="31"/>
      <c r="E121" s="32"/>
      <c r="F121" s="33"/>
      <c r="G121" s="34" t="s">
        <v>219</v>
      </c>
      <c r="H121" s="34" t="s">
        <v>219</v>
      </c>
      <c r="I121" s="35"/>
      <c r="J121" s="35"/>
      <c r="K121" s="36"/>
    </row>
    <row r="122" spans="2:11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2:11" x14ac:dyDescent="0.35">
      <c r="C123" s="30" t="s">
        <v>331</v>
      </c>
      <c r="D123" s="31"/>
      <c r="E123" s="32"/>
      <c r="F123" s="33"/>
      <c r="G123" s="34" t="s">
        <v>219</v>
      </c>
      <c r="H123" s="34" t="s">
        <v>219</v>
      </c>
      <c r="I123" s="35"/>
      <c r="J123" s="35"/>
      <c r="K123" s="36"/>
    </row>
    <row r="124" spans="2:11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37" t="s">
        <v>332</v>
      </c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B126" s="1" t="s">
        <v>333</v>
      </c>
      <c r="C126" s="21" t="s">
        <v>334</v>
      </c>
      <c r="D126" s="31" t="s">
        <v>335</v>
      </c>
      <c r="E126" s="32" t="s">
        <v>336</v>
      </c>
      <c r="F126" s="33">
        <v>35000000</v>
      </c>
      <c r="G126" s="34">
        <v>34880.51</v>
      </c>
      <c r="H126" s="34">
        <v>3.69</v>
      </c>
      <c r="I126" s="35">
        <v>6.4774134999999999</v>
      </c>
      <c r="J126" s="35"/>
      <c r="K126" s="36"/>
    </row>
    <row r="127" spans="2:11" x14ac:dyDescent="0.35">
      <c r="B127" s="1" t="s">
        <v>337</v>
      </c>
      <c r="C127" s="21" t="s">
        <v>338</v>
      </c>
      <c r="D127" s="31" t="s">
        <v>339</v>
      </c>
      <c r="E127" s="32" t="s">
        <v>336</v>
      </c>
      <c r="F127" s="33">
        <v>12500000</v>
      </c>
      <c r="G127" s="34">
        <v>12815.34</v>
      </c>
      <c r="H127" s="34">
        <v>1.36</v>
      </c>
      <c r="I127" s="35">
        <v>6.5233752999999997</v>
      </c>
      <c r="J127" s="35"/>
      <c r="K127" s="36"/>
    </row>
    <row r="128" spans="2:11" x14ac:dyDescent="0.35">
      <c r="B128" s="1" t="s">
        <v>340</v>
      </c>
      <c r="C128" s="21" t="s">
        <v>341</v>
      </c>
      <c r="D128" s="31" t="s">
        <v>342</v>
      </c>
      <c r="E128" s="32" t="s">
        <v>336</v>
      </c>
      <c r="F128" s="33">
        <v>5000000</v>
      </c>
      <c r="G128" s="34">
        <v>5037.4799999999996</v>
      </c>
      <c r="H128" s="34">
        <v>0.53</v>
      </c>
      <c r="I128" s="35">
        <v>7.1525086</v>
      </c>
      <c r="J128" s="35"/>
      <c r="K128" s="36"/>
    </row>
    <row r="129" spans="1:11" x14ac:dyDescent="0.35">
      <c r="B129" s="1" t="s">
        <v>343</v>
      </c>
      <c r="C129" s="21" t="s">
        <v>344</v>
      </c>
      <c r="D129" s="31" t="s">
        <v>345</v>
      </c>
      <c r="E129" s="32" t="s">
        <v>336</v>
      </c>
      <c r="F129" s="33">
        <v>2500000</v>
      </c>
      <c r="G129" s="34">
        <v>2574.17</v>
      </c>
      <c r="H129" s="34">
        <v>0.27</v>
      </c>
      <c r="I129" s="35">
        <v>7.2391880999999998</v>
      </c>
      <c r="J129" s="35"/>
      <c r="K129" s="36"/>
    </row>
    <row r="130" spans="1:11" x14ac:dyDescent="0.35">
      <c r="C130" s="30" t="s">
        <v>217</v>
      </c>
      <c r="D130" s="31"/>
      <c r="E130" s="32"/>
      <c r="F130" s="33"/>
      <c r="G130" s="38">
        <v>55307.5</v>
      </c>
      <c r="H130" s="38">
        <v>5.85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7" t="s">
        <v>346</v>
      </c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B133" s="1" t="s">
        <v>347</v>
      </c>
      <c r="C133" s="21" t="s">
        <v>348</v>
      </c>
      <c r="D133" s="31" t="s">
        <v>349</v>
      </c>
      <c r="E133" s="32" t="s">
        <v>336</v>
      </c>
      <c r="F133" s="33">
        <v>5000000</v>
      </c>
      <c r="G133" s="34">
        <v>5003.6000000000004</v>
      </c>
      <c r="H133" s="34">
        <v>0.53</v>
      </c>
      <c r="I133" s="35">
        <v>7.0079321999999999</v>
      </c>
      <c r="J133" s="35"/>
      <c r="K133" s="36"/>
    </row>
    <row r="134" spans="1:11" x14ac:dyDescent="0.35">
      <c r="B134" s="1" t="s">
        <v>350</v>
      </c>
      <c r="C134" s="21" t="s">
        <v>351</v>
      </c>
      <c r="D134" s="31" t="s">
        <v>352</v>
      </c>
      <c r="E134" s="32" t="s">
        <v>336</v>
      </c>
      <c r="F134" s="33">
        <v>2500000</v>
      </c>
      <c r="G134" s="34">
        <v>2487.2399999999998</v>
      </c>
      <c r="H134" s="34">
        <v>0.26</v>
      </c>
      <c r="I134" s="35">
        <v>7.2751925000000002</v>
      </c>
      <c r="J134" s="35"/>
      <c r="K134" s="36"/>
    </row>
    <row r="135" spans="1:11" x14ac:dyDescent="0.35">
      <c r="C135" s="30" t="s">
        <v>217</v>
      </c>
      <c r="D135" s="31"/>
      <c r="E135" s="32"/>
      <c r="F135" s="33"/>
      <c r="G135" s="38">
        <v>7490.84</v>
      </c>
      <c r="H135" s="38">
        <v>0.79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A137" s="28"/>
      <c r="B137" s="29"/>
      <c r="C137" s="30" t="s">
        <v>353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A138" s="29"/>
      <c r="B138" s="29"/>
      <c r="C138" s="30" t="s">
        <v>354</v>
      </c>
      <c r="D138" s="31"/>
      <c r="E138" s="32"/>
      <c r="F138" s="33"/>
      <c r="G138" s="34" t="s">
        <v>219</v>
      </c>
      <c r="H138" s="34" t="s">
        <v>219</v>
      </c>
      <c r="I138" s="35"/>
      <c r="J138" s="35"/>
      <c r="K138" s="36"/>
    </row>
    <row r="139" spans="1:11" x14ac:dyDescent="0.35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C140" s="37" t="s">
        <v>355</v>
      </c>
      <c r="D140" s="31"/>
      <c r="E140" s="32"/>
      <c r="F140" s="33"/>
      <c r="G140" s="34"/>
      <c r="H140" s="34"/>
      <c r="I140" s="35"/>
      <c r="J140" s="35"/>
      <c r="K140" s="36"/>
    </row>
    <row r="141" spans="1:11" x14ac:dyDescent="0.35">
      <c r="B141" s="1" t="s">
        <v>356</v>
      </c>
      <c r="C141" s="21" t="s">
        <v>357</v>
      </c>
      <c r="D141" s="31" t="s">
        <v>358</v>
      </c>
      <c r="E141" s="32" t="s">
        <v>359</v>
      </c>
      <c r="F141" s="33">
        <v>2000</v>
      </c>
      <c r="G141" s="34">
        <v>9801.35</v>
      </c>
      <c r="H141" s="34">
        <v>1.04</v>
      </c>
      <c r="I141" s="35">
        <v>5.9180999999999999</v>
      </c>
      <c r="J141" s="35"/>
      <c r="K141" s="36" t="s">
        <v>236</v>
      </c>
    </row>
    <row r="142" spans="1:11" x14ac:dyDescent="0.35">
      <c r="C142" s="30" t="s">
        <v>217</v>
      </c>
      <c r="D142" s="31"/>
      <c r="E142" s="32"/>
      <c r="F142" s="33"/>
      <c r="G142" s="38">
        <v>9801.35</v>
      </c>
      <c r="H142" s="38">
        <v>1.04</v>
      </c>
      <c r="I142" s="35"/>
      <c r="J142" s="35"/>
      <c r="K142" s="36"/>
    </row>
    <row r="143" spans="1:11" x14ac:dyDescent="0.3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C144" s="30" t="s">
        <v>360</v>
      </c>
      <c r="D144" s="31"/>
      <c r="E144" s="32"/>
      <c r="F144" s="33"/>
      <c r="G144" s="34" t="s">
        <v>219</v>
      </c>
      <c r="H144" s="34" t="s">
        <v>219</v>
      </c>
      <c r="I144" s="35"/>
      <c r="J144" s="35"/>
      <c r="K144" s="36"/>
    </row>
    <row r="145" spans="1:11" x14ac:dyDescent="0.3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11" x14ac:dyDescent="0.35">
      <c r="C146" s="30" t="s">
        <v>361</v>
      </c>
      <c r="D146" s="31"/>
      <c r="E146" s="32"/>
      <c r="F146" s="33"/>
      <c r="G146" s="34" t="s">
        <v>219</v>
      </c>
      <c r="H146" s="34" t="s">
        <v>219</v>
      </c>
      <c r="I146" s="35"/>
      <c r="J146" s="35"/>
      <c r="K146" s="36"/>
    </row>
    <row r="147" spans="1:11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0" t="s">
        <v>362</v>
      </c>
      <c r="D148" s="31"/>
      <c r="E148" s="32"/>
      <c r="F148" s="33"/>
      <c r="G148" s="34" t="s">
        <v>219</v>
      </c>
      <c r="H148" s="34" t="s">
        <v>219</v>
      </c>
      <c r="I148" s="35"/>
      <c r="J148" s="35"/>
      <c r="K148" s="36"/>
    </row>
    <row r="149" spans="1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A150" s="28"/>
      <c r="B150" s="29"/>
      <c r="C150" s="30" t="s">
        <v>363</v>
      </c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C151" s="37" t="s">
        <v>364</v>
      </c>
      <c r="D151" s="31"/>
      <c r="E151" s="32"/>
      <c r="F151" s="33"/>
      <c r="G151" s="34"/>
      <c r="H151" s="34"/>
      <c r="I151" s="35"/>
      <c r="J151" s="35"/>
      <c r="K151" s="36"/>
    </row>
    <row r="152" spans="1:11" x14ac:dyDescent="0.35">
      <c r="B152" s="1" t="s">
        <v>365</v>
      </c>
      <c r="C152" s="21" t="s">
        <v>366</v>
      </c>
      <c r="D152" s="31" t="s">
        <v>367</v>
      </c>
      <c r="E152" s="32" t="s">
        <v>368</v>
      </c>
      <c r="F152" s="33">
        <v>51296178</v>
      </c>
      <c r="G152" s="34">
        <v>56225.74</v>
      </c>
      <c r="H152" s="34">
        <v>5.96</v>
      </c>
      <c r="I152" s="35"/>
      <c r="J152" s="35"/>
      <c r="K152" s="36"/>
    </row>
    <row r="153" spans="1:11" x14ac:dyDescent="0.35">
      <c r="B153" s="1" t="s">
        <v>369</v>
      </c>
      <c r="C153" s="21" t="s">
        <v>370</v>
      </c>
      <c r="D153" s="31" t="s">
        <v>371</v>
      </c>
      <c r="E153" s="32" t="s">
        <v>368</v>
      </c>
      <c r="F153" s="33">
        <v>37241000</v>
      </c>
      <c r="G153" s="34">
        <v>31543.13</v>
      </c>
      <c r="H153" s="34">
        <v>3.34</v>
      </c>
      <c r="I153" s="35"/>
      <c r="J153" s="35"/>
      <c r="K153" s="36"/>
    </row>
    <row r="154" spans="1:11" x14ac:dyDescent="0.35">
      <c r="B154" s="1" t="s">
        <v>372</v>
      </c>
      <c r="C154" s="21" t="s">
        <v>373</v>
      </c>
      <c r="D154" s="31" t="s">
        <v>374</v>
      </c>
      <c r="E154" s="32" t="s">
        <v>368</v>
      </c>
      <c r="F154" s="33">
        <v>26730000</v>
      </c>
      <c r="G154" s="34">
        <v>28574.37</v>
      </c>
      <c r="H154" s="34">
        <v>3.03</v>
      </c>
      <c r="I154" s="35"/>
      <c r="J154" s="35"/>
      <c r="K154" s="36"/>
    </row>
    <row r="155" spans="1:11" x14ac:dyDescent="0.35">
      <c r="C155" s="30" t="s">
        <v>217</v>
      </c>
      <c r="D155" s="31"/>
      <c r="E155" s="32"/>
      <c r="F155" s="33"/>
      <c r="G155" s="38">
        <v>116343.24</v>
      </c>
      <c r="H155" s="38">
        <v>12.33</v>
      </c>
      <c r="I155" s="35"/>
      <c r="J155" s="35"/>
      <c r="K155" s="36"/>
    </row>
    <row r="156" spans="1:11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1:11" x14ac:dyDescent="0.35">
      <c r="C157" s="30" t="s">
        <v>375</v>
      </c>
      <c r="D157" s="31"/>
      <c r="E157" s="32"/>
      <c r="F157" s="33"/>
      <c r="G157" s="34" t="s">
        <v>219</v>
      </c>
      <c r="H157" s="34" t="s">
        <v>219</v>
      </c>
      <c r="I157" s="35"/>
      <c r="J157" s="35"/>
      <c r="K157" s="36"/>
    </row>
    <row r="158" spans="1:11" x14ac:dyDescent="0.35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5">
      <c r="C159" s="30" t="s">
        <v>376</v>
      </c>
      <c r="D159" s="31"/>
      <c r="E159" s="32"/>
      <c r="F159" s="33"/>
      <c r="G159" s="34" t="s">
        <v>219</v>
      </c>
      <c r="H159" s="34" t="s">
        <v>219</v>
      </c>
      <c r="I159" s="35"/>
      <c r="J159" s="35"/>
      <c r="K159" s="36"/>
    </row>
    <row r="160" spans="1:11" x14ac:dyDescent="0.35">
      <c r="C160" s="21"/>
      <c r="D160" s="31"/>
      <c r="E160" s="32"/>
      <c r="F160" s="33"/>
      <c r="G160" s="34"/>
      <c r="H160" s="34"/>
      <c r="I160" s="35"/>
      <c r="J160" s="35"/>
      <c r="K160" s="36"/>
    </row>
    <row r="161" spans="1:54" x14ac:dyDescent="0.35">
      <c r="C161" s="30" t="s">
        <v>377</v>
      </c>
      <c r="D161" s="31"/>
      <c r="E161" s="32"/>
      <c r="F161" s="33"/>
      <c r="G161" s="34" t="s">
        <v>219</v>
      </c>
      <c r="H161" s="34" t="s">
        <v>219</v>
      </c>
      <c r="I161" s="35"/>
      <c r="J161" s="35"/>
      <c r="K161" s="36"/>
    </row>
    <row r="162" spans="1:54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54" x14ac:dyDescent="0.35">
      <c r="C163" s="30" t="s">
        <v>378</v>
      </c>
      <c r="D163" s="31"/>
      <c r="E163" s="32"/>
      <c r="F163" s="33"/>
      <c r="G163" s="34" t="s">
        <v>219</v>
      </c>
      <c r="H163" s="34" t="s">
        <v>219</v>
      </c>
      <c r="I163" s="35"/>
      <c r="J163" s="35"/>
      <c r="K163" s="36"/>
    </row>
    <row r="164" spans="1:54" x14ac:dyDescent="0.35">
      <c r="C164" s="21"/>
      <c r="D164" s="31"/>
      <c r="E164" s="32"/>
      <c r="F164" s="33"/>
      <c r="G164" s="34"/>
      <c r="H164" s="34"/>
      <c r="I164" s="35"/>
      <c r="J164" s="35"/>
      <c r="K164" s="36"/>
    </row>
    <row r="165" spans="1:54" x14ac:dyDescent="0.35">
      <c r="C165" s="37" t="s">
        <v>379</v>
      </c>
      <c r="D165" s="31"/>
      <c r="E165" s="32"/>
      <c r="F165" s="33"/>
      <c r="G165" s="34"/>
      <c r="H165" s="34"/>
      <c r="I165" s="35"/>
      <c r="J165" s="35"/>
      <c r="K165" s="36"/>
    </row>
    <row r="166" spans="1:54" x14ac:dyDescent="0.35">
      <c r="B166" s="1" t="s">
        <v>380</v>
      </c>
      <c r="C166" s="21" t="s">
        <v>381</v>
      </c>
      <c r="D166" s="31"/>
      <c r="E166" s="32"/>
      <c r="F166" s="33"/>
      <c r="G166" s="34">
        <v>35723.39</v>
      </c>
      <c r="H166" s="34">
        <v>3.78</v>
      </c>
      <c r="I166" s="35"/>
      <c r="J166" s="35"/>
      <c r="K166" s="36"/>
    </row>
    <row r="167" spans="1:54" x14ac:dyDescent="0.35">
      <c r="C167" s="30" t="s">
        <v>217</v>
      </c>
      <c r="D167" s="31"/>
      <c r="E167" s="32"/>
      <c r="F167" s="33"/>
      <c r="G167" s="38">
        <v>35723.39</v>
      </c>
      <c r="H167" s="38">
        <v>3.78</v>
      </c>
      <c r="I167" s="35"/>
      <c r="J167" s="35"/>
      <c r="K167" s="36"/>
    </row>
    <row r="168" spans="1:54" x14ac:dyDescent="0.35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A169" s="28"/>
      <c r="B169" s="29"/>
      <c r="C169" s="30" t="s">
        <v>382</v>
      </c>
      <c r="D169" s="31"/>
      <c r="E169" s="32"/>
      <c r="F169" s="33"/>
      <c r="G169" s="34"/>
      <c r="H169" s="34"/>
      <c r="I169" s="35"/>
      <c r="J169" s="35"/>
      <c r="K169" s="36"/>
    </row>
    <row r="170" spans="1:54" s="2" customFormat="1" ht="13.5" x14ac:dyDescent="0.35">
      <c r="A170" s="29"/>
      <c r="B170" s="29"/>
      <c r="C170" s="21" t="s">
        <v>383</v>
      </c>
      <c r="D170" s="31"/>
      <c r="E170" s="32"/>
      <c r="F170" s="33"/>
      <c r="G170" s="34" t="s">
        <v>219</v>
      </c>
      <c r="H170" s="34" t="s">
        <v>219</v>
      </c>
      <c r="I170" s="35"/>
      <c r="J170" s="35"/>
      <c r="K170" s="36"/>
      <c r="L170" s="10"/>
      <c r="AI170" s="10"/>
      <c r="AV170" s="10"/>
      <c r="AX170" s="10"/>
      <c r="BB170" s="10"/>
    </row>
    <row r="171" spans="1:54" x14ac:dyDescent="0.35">
      <c r="B171" s="1"/>
      <c r="C171" s="21" t="s">
        <v>384</v>
      </c>
      <c r="D171" s="31"/>
      <c r="E171" s="32"/>
      <c r="F171" s="33"/>
      <c r="G171" s="34">
        <v>-10061.700000000001</v>
      </c>
      <c r="H171" s="34">
        <v>-1.07</v>
      </c>
      <c r="I171" s="35"/>
      <c r="J171" s="35"/>
      <c r="K171" s="36"/>
    </row>
    <row r="172" spans="1:54" x14ac:dyDescent="0.35">
      <c r="C172" s="30" t="s">
        <v>217</v>
      </c>
      <c r="D172" s="31"/>
      <c r="E172" s="32"/>
      <c r="F172" s="33"/>
      <c r="G172" s="38">
        <v>-10061.700000000001</v>
      </c>
      <c r="H172" s="38">
        <v>-1.07</v>
      </c>
      <c r="I172" s="35"/>
      <c r="J172" s="35"/>
      <c r="K172" s="36"/>
    </row>
    <row r="173" spans="1:54" x14ac:dyDescent="0.35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54" ht="15" thickBot="1" x14ac:dyDescent="0.4">
      <c r="C174" s="40" t="s">
        <v>385</v>
      </c>
      <c r="D174" s="41"/>
      <c r="E174" s="42"/>
      <c r="F174" s="43"/>
      <c r="G174" s="44">
        <v>944030.11</v>
      </c>
      <c r="H174" s="44">
        <v>100.00000000000001</v>
      </c>
      <c r="I174" s="45"/>
      <c r="J174" s="45"/>
      <c r="K174" s="46"/>
    </row>
    <row r="177" spans="3:11" x14ac:dyDescent="0.35">
      <c r="C177" s="11" t="s">
        <v>386</v>
      </c>
    </row>
    <row r="178" spans="3:11" x14ac:dyDescent="0.35">
      <c r="C178" s="47" t="s">
        <v>387</v>
      </c>
      <c r="D178" s="47"/>
      <c r="E178" s="47"/>
      <c r="F178" s="47"/>
      <c r="G178" s="47"/>
      <c r="H178" s="47"/>
      <c r="I178" s="47"/>
      <c r="J178" s="47"/>
      <c r="K178" s="47"/>
    </row>
    <row r="179" spans="3:11" x14ac:dyDescent="0.35">
      <c r="C179" s="2" t="s">
        <v>388</v>
      </c>
    </row>
    <row r="180" spans="3:11" x14ac:dyDescent="0.35">
      <c r="C180" s="2" t="s">
        <v>389</v>
      </c>
    </row>
    <row r="181" spans="3:11" ht="30" customHeight="1" x14ac:dyDescent="0.35">
      <c r="C181" s="48" t="s">
        <v>390</v>
      </c>
      <c r="D181" s="49"/>
      <c r="E181" s="49"/>
      <c r="F181" s="49"/>
      <c r="G181" s="49"/>
      <c r="H181" s="49"/>
      <c r="I181" s="49"/>
      <c r="J181" s="49"/>
      <c r="K181" s="49"/>
    </row>
    <row r="182" spans="3:11" x14ac:dyDescent="0.35">
      <c r="C182" s="2" t="s">
        <v>391</v>
      </c>
    </row>
    <row r="184" spans="3:11" x14ac:dyDescent="0.35">
      <c r="C184" s="11" t="s">
        <v>392</v>
      </c>
      <c r="E184" s="50" t="s">
        <v>393</v>
      </c>
    </row>
    <row r="185" spans="3:11" x14ac:dyDescent="0.35">
      <c r="E185" s="2" t="s">
        <v>394</v>
      </c>
    </row>
  </sheetData>
  <mergeCells count="1">
    <mergeCell ref="C181:K181"/>
  </mergeCells>
  <hyperlinks>
    <hyperlink ref="J2" location="'Index'!A1" display="'Index'!A1" xr:uid="{7897AC7A-B385-4188-8E77-32D2A82D56B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107</vt:i4>
      </vt:variant>
    </vt:vector>
  </HeadingPairs>
  <TitlesOfParts>
    <vt:vector size="108" baseType="lpstr">
      <vt:lpstr>SMAAF</vt:lpstr>
      <vt:lpstr>SMAAF!Print_Area</vt:lpstr>
      <vt:lpstr>XDO_?CLASS_3?35?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XDO_?NAMCNAME?35?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XDO_?NPTF?35?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XDO_?TITL?35?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XDO_GROUP_?G_2?35?</vt:lpstr>
      <vt:lpstr>XDO_GROUP_?G_3?35?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2025-08-07T10:18:44Z</dcterms:created>
  <dcterms:modified xsi:type="dcterms:W3CDTF">2025-08-07T10:18:44Z</dcterms:modified>
</cp:coreProperties>
</file>