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June\0606\May 2025\"/>
    </mc:Choice>
  </mc:AlternateContent>
  <xr:revisionPtr revIDLastSave="0" documentId="8_{51A94DAD-A719-4733-B5C0-98885950730B}" xr6:coauthVersionLast="47" xr6:coauthVersionMax="47" xr10:uidLastSave="{00000000-0000-0000-0000-000000000000}"/>
  <bookViews>
    <workbookView xWindow="-110" yWindow="-110" windowWidth="19420" windowHeight="10420" xr2:uid="{8BFBFD69-E2E4-4E6C-845D-6256A4916B59}"/>
  </bookViews>
  <sheets>
    <sheet name="SMAAF" sheetId="1" r:id="rId1"/>
  </sheets>
  <externalReferences>
    <externalReference r:id="rId2"/>
  </externalReferences>
  <definedNames>
    <definedName name="_xlnm.Print_Area" localSheetId="0">SMAAF!$A$1:$C$185</definedName>
    <definedName name="XDO_?CLASS_3?1?">#REF!</definedName>
    <definedName name="XDO_?CLASS_3?10?">#REF!</definedName>
    <definedName name="XDO_?CLASS_3?1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2?">#REF!</definedName>
    <definedName name="XDO_?CLASS_3?3?">#REF!</definedName>
    <definedName name="XDO_?CLASS_3?35?">SMAAF!$C$8:$C$63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70?">SMAAF!$D$10:$D$63</definedName>
    <definedName name="XDO_?FINAL_ISIN?171?">SMAAF!$D$10:$D$71</definedName>
    <definedName name="XDO_?FINAL_ISIN?172?">SMAAF!$D$10:$D$76</definedName>
    <definedName name="XDO_?FINAL_ISIN?173?">SMAAF!$D$10:$D$112</definedName>
    <definedName name="XDO_?FINAL_ISIN?174?">SMAAF!$D$10:$D$123</definedName>
    <definedName name="XDO_?FINAL_ISIN?175?">SMAAF!$D$10:$D$127</definedName>
    <definedName name="XDO_?FINAL_ISIN?176?">SMAAF!$D$10:$D$146</definedName>
    <definedName name="XDO_?FINAL_ISIN?177?">SMAAF!$D$10:$D$158</definedName>
    <definedName name="XDO_?FINAL_ISIN?178?">SMAAF!$D$10:$D$163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49?">#REF!</definedName>
    <definedName name="XDO_?FINAL_ISIN?5?">#REF!</definedName>
    <definedName name="XDO_?FINAL_ISIN?50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25?">[1]SFEF!$G$10:$G$32</definedName>
    <definedName name="XDO_?FINAL_MV?170?">SMAAF!$G$10:$G$63</definedName>
    <definedName name="XDO_?FINAL_MV?171?">SMAAF!$G$10:$G$71</definedName>
    <definedName name="XDO_?FINAL_MV?172?">SMAAF!$G$10:$G$76</definedName>
    <definedName name="XDO_?FINAL_MV?173?">SMAAF!$G$10:$G$112</definedName>
    <definedName name="XDO_?FINAL_MV?174?">SMAAF!$G$10:$G$123</definedName>
    <definedName name="XDO_?FINAL_MV?175?">SMAAF!$G$10:$G$127</definedName>
    <definedName name="XDO_?FINAL_MV?176?">SMAAF!$G$10:$G$146</definedName>
    <definedName name="XDO_?FINAL_MV?177?">SMAAF!$G$10:$G$158</definedName>
    <definedName name="XDO_?FINAL_MV?178?">SMAAF!$G$10:$G$163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[1]SEHF!$G$10:$G$50</definedName>
    <definedName name="XDO_?FINAL_MV?3?">#REF!</definedName>
    <definedName name="XDO_?FINAL_MV?390?">[1]SBAF!$G$10:$G$98</definedName>
    <definedName name="XDO_?FINAL_MV?4?">#REF!</definedName>
    <definedName name="XDO_?FINAL_MV?42?">#REF!</definedName>
    <definedName name="XDO_?FINAL_MV?43?">#REF!</definedName>
    <definedName name="XDO_?FINAL_MV?49?">#REF!</definedName>
    <definedName name="XDO_?FINAL_MV?5?">#REF!</definedName>
    <definedName name="XDO_?FINAL_MV?50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70?">SMAAF!$C$10:$C$63</definedName>
    <definedName name="XDO_?FINAL_NAME?171?">SMAAF!$C$10:$C$71</definedName>
    <definedName name="XDO_?FINAL_NAME?172?">SMAAF!$C$10:$C$76</definedName>
    <definedName name="XDO_?FINAL_NAME?173?">SMAAF!$C$10:$C$112</definedName>
    <definedName name="XDO_?FINAL_NAME?174?">SMAAF!$C$10:$C$123</definedName>
    <definedName name="XDO_?FINAL_NAME?175?">SMAAF!$C$10:$C$127</definedName>
    <definedName name="XDO_?FINAL_NAME?176?">SMAAF!$C$10:$C$146</definedName>
    <definedName name="XDO_?FINAL_NAME?177?">SMAAF!$C$10:$C$158</definedName>
    <definedName name="XDO_?FINAL_NAME?178?">SMAAF!$C$10:$C$163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49?">#REF!</definedName>
    <definedName name="XDO_?FINAL_NAME?5?">#REF!</definedName>
    <definedName name="XDO_?FINAL_NAME?50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25?">[1]SFEF!$H$10:$H$32</definedName>
    <definedName name="XDO_?FINAL_PER_NET?170?">SMAAF!$H$10:$H$63</definedName>
    <definedName name="XDO_?FINAL_PER_NET?171?">SMAAF!$H$10:$H$71</definedName>
    <definedName name="XDO_?FINAL_PER_NET?172?">SMAAF!$H$10:$H$76</definedName>
    <definedName name="XDO_?FINAL_PER_NET?173?">SMAAF!$H$10:$H$112</definedName>
    <definedName name="XDO_?FINAL_PER_NET?174?">SMAAF!$H$10:$H$123</definedName>
    <definedName name="XDO_?FINAL_PER_NET?175?">SMAAF!$H$10:$H$127</definedName>
    <definedName name="XDO_?FINAL_PER_NET?176?">SMAAF!$H$10:$H$146</definedName>
    <definedName name="XDO_?FINAL_PER_NET?177?">SMAAF!$H$10:$H$158</definedName>
    <definedName name="XDO_?FINAL_PER_NET?178?">SMAAF!$H$10:$H$163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[1]SEHF!$H$10:$H$50</definedName>
    <definedName name="XDO_?FINAL_PER_NET?3?">#REF!</definedName>
    <definedName name="XDO_?FINAL_PER_NET?390?">[1]SBAF!$H$10:$H$98</definedName>
    <definedName name="XDO_?FINAL_PER_NET?4?">#REF!</definedName>
    <definedName name="XDO_?FINAL_PER_NET?42?">#REF!</definedName>
    <definedName name="XDO_?FINAL_PER_NET?43?">#REF!</definedName>
    <definedName name="XDO_?FINAL_PER_NET?49?">#REF!</definedName>
    <definedName name="XDO_?FINAL_PER_NET?5?">#REF!</definedName>
    <definedName name="XDO_?FINAL_PER_NET?50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70?">SMAAF!$F$10:$F$63</definedName>
    <definedName name="XDO_?FINAL_QUANTITE?171?">SMAAF!$F$10:$F$71</definedName>
    <definedName name="XDO_?FINAL_QUANTITE?172?">SMAAF!$F$10:$F$76</definedName>
    <definedName name="XDO_?FINAL_QUANTITE?173?">SMAAF!$F$10:$F$112</definedName>
    <definedName name="XDO_?FINAL_QUANTITE?174?">SMAAF!$F$10:$F$123</definedName>
    <definedName name="XDO_?FINAL_QUANTITE?175?">SMAAF!$F$10:$F$127</definedName>
    <definedName name="XDO_?FINAL_QUANTITE?176?">SMAAF!$F$10:$F$146</definedName>
    <definedName name="XDO_?FINAL_QUANTITE?177?">SMAAF!$F$10:$F$158</definedName>
    <definedName name="XDO_?FINAL_QUANTITE?178?">SMAAF!$F$10:$F$163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49?">#REF!</definedName>
    <definedName name="XDO_?FINAL_QUANTITE?5?">#REF!</definedName>
    <definedName name="XDO_?FINAL_QUANTITE?50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64'!#REF!</definedName>
    <definedName name="XDO_?NAMC?101?">'[1]SFMP- Series 68'!#REF!</definedName>
    <definedName name="XDO_?NAMC?102?">[1]SNM150IF!#REF!</definedName>
    <definedName name="XDO_?NAMC?103?">[1]SNS250IF!#REF!</definedName>
    <definedName name="XDO_?NAMC?104?">'[1]SCIGI-JUN 2036'!#REF!</definedName>
    <definedName name="XDO_?NAMC?105?">'[1]SCIGI-APR 2029'!#REF!</definedName>
    <definedName name="XDO_?NAMC?106?">'[1]SCISI-SEP 2027'!#REF!</definedName>
    <definedName name="XDO_?NAMC?107?">'[1]SFMP- Series 72'!#REF!</definedName>
    <definedName name="XDO_?NAMC?108?">'[1]SFMP- Series 73'!#REF!</definedName>
    <definedName name="XDO_?NAMC?109?">[1]SLDF!#REF!</definedName>
    <definedName name="XDO_?NAMC?11?">[1]SEHF!#REF!</definedName>
    <definedName name="XDO_?NAMC?110?">'[1]SFMP- Series 74'!#REF!</definedName>
    <definedName name="XDO_?NAMC?111?">'[1]SFMP- Series 76'!#REF!</definedName>
    <definedName name="XDO_?NAMC?112?">'[1]SFMP- Series 78'!#REF!</definedName>
    <definedName name="XDO_?NAMC?113?">[1]SDYF!#REF!</definedName>
    <definedName name="XDO_?NAMC?114?">'[1]SFMP- Series 79'!#REF!</definedName>
    <definedName name="XDO_?NAMC?115?">'[1]SFMP- Series 81'!#REF!</definedName>
    <definedName name="XDO_?NAMC?116?">'[1]SBI-BSE-SENSEX-IF'!#REF!</definedName>
    <definedName name="XDO_?NAMC?117?">[1]LIQUIDSBI!#REF!</definedName>
    <definedName name="XDO_?NAMC?118?">[1]SN50EWIF!#REF!</definedName>
    <definedName name="XDO_?NAMC?119?">[1]SEOF!#REF!</definedName>
    <definedName name="XDO_?NAMC?12?">#REF!</definedName>
    <definedName name="XDO_?NAMC?120?">'[1]SBI-AOF'!#REF!</definedName>
    <definedName name="XDO_?NAMC?121?">[1]SETFSILVER!#REF!</definedName>
    <definedName name="XDO_?NAMC?122?">'[1]SETFSILVER-FOF'!#REF!</definedName>
    <definedName name="XDO_?NAMC?123?">'[1]SN50EW-ETF'!#REF!</definedName>
    <definedName name="XDO_?NAMC?124?">[1]SIOF!#REF!</definedName>
    <definedName name="XDO_?NAMC?125?">[1]SN500IF!#REF!</definedName>
    <definedName name="XDO_?NAMC?126?">[1]SNICIF!#REF!</definedName>
    <definedName name="XDO_?NAMC?127?">[1]SQF!#REF!</definedName>
    <definedName name="XDO_?NAMC?128?">[1]SNBIF!#REF!</definedName>
    <definedName name="XDO_?NAMC?129?">[1]SNITIF!#REF!</definedName>
    <definedName name="XDO_?NAMC?13?">[1]SMIF!#REF!</definedName>
    <definedName name="XDO_?NAMC?130?">'[1]SBI BSE PSU Bank ETF'!#REF!</definedName>
    <definedName name="XDO_?NAMC?131?">'[1]SBI BSE PSU Bank Index Fund'!#REF!</definedName>
    <definedName name="XDO_?NAMC?132?">[1]SIPAAFOF!#REF!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'[1]SFMP- Series 47'!#REF!</definedName>
    <definedName name="XDO_?NAMC?82?">'[1]SFMP- Series 48'!#REF!</definedName>
    <definedName name="XDO_?NAMC?83?">[1]SBAF!#REF!</definedName>
    <definedName name="XDO_?NAMC?84?">'[1]SFMP- Series 49'!#REF!</definedName>
    <definedName name="XDO_?NAMC?85?">'[1]SFMP- Series 50'!#REF!</definedName>
    <definedName name="XDO_?NAMC?86?">'[1]SFMP- Series 51'!#REF!</definedName>
    <definedName name="XDO_?NAMC?87?">'[1]SFMP- Series 52'!#REF!</definedName>
    <definedName name="XDO_?NAMC?88?">'[1]SFMP- Series 53'!#REF!</definedName>
    <definedName name="XDO_?NAMC?89?">'[1]SFMP- Series 54'!#REF!</definedName>
    <definedName name="XDO_?NAMC?9?">[1]SMGLF!#REF!</definedName>
    <definedName name="XDO_?NAMC?90?">'[1]SFMP- Series 55'!#REF!</definedName>
    <definedName name="XDO_?NAMC?91?">'[1]SFMP- Series 57'!#REF!</definedName>
    <definedName name="XDO_?NAMC?92?">'[1]SFMP- Series 58'!#REF!</definedName>
    <definedName name="XDO_?NAMC?93?">[1]SCPSE!#REF!</definedName>
    <definedName name="XDO_?NAMC?94?">'[1]SFMP- Series 59'!#REF!</definedName>
    <definedName name="XDO_?NAMC?95?">'[1]SFMP- Series 60'!#REF!</definedName>
    <definedName name="XDO_?NAMC?96?">[1]SMCF!#REF!</definedName>
    <definedName name="XDO_?NAMC?97?">'[1]SFMP- Series 61'!#REF!</definedName>
    <definedName name="XDO_?NAMC?98?">'[1]SFMP- Series 66'!#REF!</definedName>
    <definedName name="XDO_?NAMC?99?">'[1]SFMP- Series 67'!#REF!</definedName>
    <definedName name="XDO_?NAMCNAME?1?">#REF!</definedName>
    <definedName name="XDO_?NAMCNAME?10?">#REF!</definedName>
    <definedName name="XDO_?NAMCNAME?1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2?">#REF!</definedName>
    <definedName name="XDO_?NAMCNAME?3?">#REF!</definedName>
    <definedName name="XDO_?NAMCNAME?35?">SMAAF!$C$2:$C$63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64'!#REF!</definedName>
    <definedName name="XDO_?NDATE?101?">'[1]SFMP- Series 68'!#REF!</definedName>
    <definedName name="XDO_?NDATE?102?">[1]SNM150IF!#REF!</definedName>
    <definedName name="XDO_?NDATE?103?">[1]SNS250IF!#REF!</definedName>
    <definedName name="XDO_?NDATE?104?">'[1]SCIGI-JUN 2036'!#REF!</definedName>
    <definedName name="XDO_?NDATE?105?">'[1]SCIGI-APR 2029'!#REF!</definedName>
    <definedName name="XDO_?NDATE?106?">'[1]SCISI-SEP 2027'!#REF!</definedName>
    <definedName name="XDO_?NDATE?107?">'[1]SFMP- Series 72'!#REF!</definedName>
    <definedName name="XDO_?NDATE?108?">'[1]SFMP- Series 73'!#REF!</definedName>
    <definedName name="XDO_?NDATE?109?">[1]SLDF!#REF!</definedName>
    <definedName name="XDO_?NDATE?11?">[1]SEHF!#REF!</definedName>
    <definedName name="XDO_?NDATE?110?">'[1]SFMP- Series 74'!#REF!</definedName>
    <definedName name="XDO_?NDATE?111?">'[1]SFMP- Series 76'!#REF!</definedName>
    <definedName name="XDO_?NDATE?112?">'[1]SFMP- Series 78'!#REF!</definedName>
    <definedName name="XDO_?NDATE?113?">[1]SDYF!#REF!</definedName>
    <definedName name="XDO_?NDATE?114?">'[1]SFMP- Series 79'!#REF!</definedName>
    <definedName name="XDO_?NDATE?115?">'[1]SFMP- Series 81'!#REF!</definedName>
    <definedName name="XDO_?NDATE?116?">'[1]SBI-BSE-SENSEX-IF'!#REF!</definedName>
    <definedName name="XDO_?NDATE?117?">[1]LIQUIDSBI!#REF!</definedName>
    <definedName name="XDO_?NDATE?118?">[1]SN50EWIF!#REF!</definedName>
    <definedName name="XDO_?NDATE?119?">[1]SEOF!#REF!</definedName>
    <definedName name="XDO_?NDATE?12?">#REF!</definedName>
    <definedName name="XDO_?NDATE?120?">'[1]SBI-AOF'!#REF!</definedName>
    <definedName name="XDO_?NDATE?121?">[1]SETFSILVER!#REF!</definedName>
    <definedName name="XDO_?NDATE?122?">'[1]SETFSILVER-FOF'!#REF!</definedName>
    <definedName name="XDO_?NDATE?123?">'[1]SN50EW-ETF'!#REF!</definedName>
    <definedName name="XDO_?NDATE?124?">[1]SIOF!#REF!</definedName>
    <definedName name="XDO_?NDATE?125?">[1]SN500IF!#REF!</definedName>
    <definedName name="XDO_?NDATE?126?">[1]SNICIF!#REF!</definedName>
    <definedName name="XDO_?NDATE?127?">[1]SQF!#REF!</definedName>
    <definedName name="XDO_?NDATE?128?">[1]SNBIF!#REF!</definedName>
    <definedName name="XDO_?NDATE?129?">[1]SNITIF!#REF!</definedName>
    <definedName name="XDO_?NDATE?13?">[1]SMIF!#REF!</definedName>
    <definedName name="XDO_?NDATE?130?">'[1]SBI BSE PSU Bank ETF'!#REF!</definedName>
    <definedName name="XDO_?NDATE?131?">'[1]SBI BSE PSU Bank Index Fund'!#REF!</definedName>
    <definedName name="XDO_?NDATE?132?">[1]SIPAAFOF!#REF!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'[1]SFMP- Series 47'!#REF!</definedName>
    <definedName name="XDO_?NDATE?82?">'[1]SFMP- Series 48'!#REF!</definedName>
    <definedName name="XDO_?NDATE?83?">[1]SBAF!#REF!</definedName>
    <definedName name="XDO_?NDATE?84?">'[1]SFMP- Series 49'!#REF!</definedName>
    <definedName name="XDO_?NDATE?85?">'[1]SFMP- Series 50'!#REF!</definedName>
    <definedName name="XDO_?NDATE?86?">'[1]SFMP- Series 51'!#REF!</definedName>
    <definedName name="XDO_?NDATE?87?">'[1]SFMP- Series 52'!#REF!</definedName>
    <definedName name="XDO_?NDATE?88?">'[1]SFMP- Series 53'!#REF!</definedName>
    <definedName name="XDO_?NDATE?89?">'[1]SFMP- Series 54'!#REF!</definedName>
    <definedName name="XDO_?NDATE?9?">[1]SMGLF!#REF!</definedName>
    <definedName name="XDO_?NDATE?90?">'[1]SFMP- Series 55'!#REF!</definedName>
    <definedName name="XDO_?NDATE?91?">'[1]SFMP- Series 57'!#REF!</definedName>
    <definedName name="XDO_?NDATE?92?">'[1]SFMP- Series 58'!#REF!</definedName>
    <definedName name="XDO_?NDATE?93?">[1]SCPSE!#REF!</definedName>
    <definedName name="XDO_?NDATE?94?">'[1]SFMP- Series 59'!#REF!</definedName>
    <definedName name="XDO_?NDATE?95?">'[1]SFMP- Series 60'!#REF!</definedName>
    <definedName name="XDO_?NDATE?96?">[1]SMCF!#REF!</definedName>
    <definedName name="XDO_?NDATE?97?">'[1]SFMP- Series 61'!#REF!</definedName>
    <definedName name="XDO_?NDATE?98?">'[1]SFMP- Series 66'!#REF!</definedName>
    <definedName name="XDO_?NDATE?99?">'[1]SFMP- Series 67'!#REF!</definedName>
    <definedName name="XDO_?NNPTF?">[1]SMEEF!#REF!</definedName>
    <definedName name="XDO_?NNPTF?1?">#REF!</definedName>
    <definedName name="XDO_?NNPTF?10?">#REF!</definedName>
    <definedName name="XDO_?NNPTF?100?">'[1]SFMP- Series 64'!#REF!</definedName>
    <definedName name="XDO_?NNPTF?101?">'[1]SFMP- Series 68'!#REF!</definedName>
    <definedName name="XDO_?NNPTF?102?">[1]SNM150IF!#REF!</definedName>
    <definedName name="XDO_?NNPTF?103?">[1]SNS250IF!#REF!</definedName>
    <definedName name="XDO_?NNPTF?104?">'[1]SCIGI-JUN 2036'!#REF!</definedName>
    <definedName name="XDO_?NNPTF?105?">'[1]SCIGI-APR 2029'!#REF!</definedName>
    <definedName name="XDO_?NNPTF?106?">'[1]SCISI-SEP 2027'!#REF!</definedName>
    <definedName name="XDO_?NNPTF?107?">'[1]SFMP- Series 72'!#REF!</definedName>
    <definedName name="XDO_?NNPTF?108?">'[1]SFMP- Series 73'!#REF!</definedName>
    <definedName name="XDO_?NNPTF?109?">[1]SLDF!#REF!</definedName>
    <definedName name="XDO_?NNPTF?11?">[1]SEHF!#REF!</definedName>
    <definedName name="XDO_?NNPTF?110?">'[1]SFMP- Series 74'!#REF!</definedName>
    <definedName name="XDO_?NNPTF?111?">'[1]SFMP- Series 76'!#REF!</definedName>
    <definedName name="XDO_?NNPTF?112?">'[1]SFMP- Series 78'!#REF!</definedName>
    <definedName name="XDO_?NNPTF?113?">[1]SDYF!#REF!</definedName>
    <definedName name="XDO_?NNPTF?114?">'[1]SFMP- Series 79'!#REF!</definedName>
    <definedName name="XDO_?NNPTF?115?">'[1]SFMP- Series 81'!#REF!</definedName>
    <definedName name="XDO_?NNPTF?116?">'[1]SBI-BSE-SENSEX-IF'!#REF!</definedName>
    <definedName name="XDO_?NNPTF?117?">[1]LIQUIDSBI!#REF!</definedName>
    <definedName name="XDO_?NNPTF?118?">[1]SN50EWIF!#REF!</definedName>
    <definedName name="XDO_?NNPTF?119?">[1]SEOF!#REF!</definedName>
    <definedName name="XDO_?NNPTF?12?">#REF!</definedName>
    <definedName name="XDO_?NNPTF?120?">'[1]SBI-AOF'!#REF!</definedName>
    <definedName name="XDO_?NNPTF?121?">[1]SETFSILVER!#REF!</definedName>
    <definedName name="XDO_?NNPTF?122?">'[1]SETFSILVER-FOF'!#REF!</definedName>
    <definedName name="XDO_?NNPTF?123?">'[1]SN50EW-ETF'!#REF!</definedName>
    <definedName name="XDO_?NNPTF?124?">[1]SIOF!#REF!</definedName>
    <definedName name="XDO_?NNPTF?125?">[1]SN500IF!#REF!</definedName>
    <definedName name="XDO_?NNPTF?126?">[1]SNICIF!#REF!</definedName>
    <definedName name="XDO_?NNPTF?127?">[1]SQF!#REF!</definedName>
    <definedName name="XDO_?NNPTF?128?">[1]SNBIF!#REF!</definedName>
    <definedName name="XDO_?NNPTF?129?">[1]SNITIF!#REF!</definedName>
    <definedName name="XDO_?NNPTF?13?">[1]SMIF!#REF!</definedName>
    <definedName name="XDO_?NNPTF?130?">'[1]SBI BSE PSU Bank ETF'!#REF!</definedName>
    <definedName name="XDO_?NNPTF?131?">'[1]SBI BSE PSU Bank Index Fund'!#REF!</definedName>
    <definedName name="XDO_?NNPTF?132?">[1]SIPAAFOF!#REF!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'[1]SFMP- Series 47'!#REF!</definedName>
    <definedName name="XDO_?NNPTF?82?">'[1]SFMP- Series 48'!#REF!</definedName>
    <definedName name="XDO_?NNPTF?83?">[1]SBAF!#REF!</definedName>
    <definedName name="XDO_?NNPTF?84?">'[1]SFMP- Series 49'!#REF!</definedName>
    <definedName name="XDO_?NNPTF?85?">'[1]SFMP- Series 50'!#REF!</definedName>
    <definedName name="XDO_?NNPTF?86?">'[1]SFMP- Series 51'!#REF!</definedName>
    <definedName name="XDO_?NNPTF?87?">'[1]SFMP- Series 52'!#REF!</definedName>
    <definedName name="XDO_?NNPTF?88?">'[1]SFMP- Series 53'!#REF!</definedName>
    <definedName name="XDO_?NNPTF?89?">'[1]SFMP- Series 54'!#REF!</definedName>
    <definedName name="XDO_?NNPTF?9?">[1]SMGLF!#REF!</definedName>
    <definedName name="XDO_?NNPTF?90?">'[1]SFMP- Series 55'!#REF!</definedName>
    <definedName name="XDO_?NNPTF?91?">'[1]SFMP- Series 57'!#REF!</definedName>
    <definedName name="XDO_?NNPTF?92?">'[1]SFMP- Series 58'!#REF!</definedName>
    <definedName name="XDO_?NNPTF?93?">[1]SCPSE!#REF!</definedName>
    <definedName name="XDO_?NNPTF?94?">'[1]SFMP- Series 59'!#REF!</definedName>
    <definedName name="XDO_?NNPTF?95?">'[1]SFMP- Series 60'!#REF!</definedName>
    <definedName name="XDO_?NNPTF?96?">[1]SMCF!#REF!</definedName>
    <definedName name="XDO_?NNPTF?97?">'[1]SFMP- Series 61'!#REF!</definedName>
    <definedName name="XDO_?NNPTF?98?">'[1]SFMP- Series 66'!#REF!</definedName>
    <definedName name="XDO_?NNPTF?99?">'[1]SFMP- Series 67'!#REF!</definedName>
    <definedName name="XDO_?NOVAL?1?">#REF!</definedName>
    <definedName name="XDO_?NOVAL?170?">SMAAF!$B$10:$B$63</definedName>
    <definedName name="XDO_?NOVAL?171?">SMAAF!$B$10:$B$71</definedName>
    <definedName name="XDO_?NOVAL?172?">SMAAF!$B$10:$B$76</definedName>
    <definedName name="XDO_?NOVAL?173?">SMAAF!$B$10:$B$112</definedName>
    <definedName name="XDO_?NOVAL?174?">SMAAF!$B$10:$B$123</definedName>
    <definedName name="XDO_?NOVAL?175?">SMAAF!$B$10:$B$127</definedName>
    <definedName name="XDO_?NOVAL?176?">SMAAF!$B$10:$B$146</definedName>
    <definedName name="XDO_?NOVAL?177?">SMAAF!$B$10:$B$158</definedName>
    <definedName name="XDO_?NOVAL?178?">SMAAF!$B$10:$B$163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49?">#REF!</definedName>
    <definedName name="XDO_?NOVAL?5?">#REF!</definedName>
    <definedName name="XDO_?NOVAL?50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2?">#REF!</definedName>
    <definedName name="XDO_?NPTF?3?">#REF!</definedName>
    <definedName name="XDO_?NPTF?35?">SMAAF!$D$2:$D$63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70?">SMAAF!$E$10:$E$63</definedName>
    <definedName name="XDO_?RATING?171?">SMAAF!$E$10:$E$71</definedName>
    <definedName name="XDO_?RATING?172?">SMAAF!$E$10:$E$76</definedName>
    <definedName name="XDO_?RATING?173?">SMAAF!$E$10:$E$112</definedName>
    <definedName name="XDO_?RATING?174?">SMAAF!$E$10:$E$123</definedName>
    <definedName name="XDO_?RATING?175?">SMAAF!$E$10:$E$127</definedName>
    <definedName name="XDO_?RATING?176?">SMAAF!$E$10:$E$146</definedName>
    <definedName name="XDO_?RATING?177?">SMAAF!$E$10:$E$158</definedName>
    <definedName name="XDO_?RATING?178?">SMAAF!$E$10:$E$163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49?">#REF!</definedName>
    <definedName name="XDO_?RATING?5?">#REF!</definedName>
    <definedName name="XDO_?RATING?50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70?">SMAAF!$K$10:$K$63</definedName>
    <definedName name="XDO_?REMARKS?171?">SMAAF!$K$10:$K$71</definedName>
    <definedName name="XDO_?REMARKS?172?">SMAAF!$K$10:$K$76</definedName>
    <definedName name="XDO_?REMARKS?173?">SMAAF!$K$10:$K$112</definedName>
    <definedName name="XDO_?REMARKS?174?">SMAAF!$K$10:$K$123</definedName>
    <definedName name="XDO_?REMARKS?175?">SMAAF!$K$10:$K$127</definedName>
    <definedName name="XDO_?REMARKS?176?">SMAAF!$K$10:$K$146</definedName>
    <definedName name="XDO_?REMARKS?177?">SMAAF!$K$10:$K$158</definedName>
    <definedName name="XDO_?REMARKS?178?">SMAAF!$K$10:$K$163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49?">#REF!</definedName>
    <definedName name="XDO_?REMARKS?5?">#REF!</definedName>
    <definedName name="XDO_?REMARKS?50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2?">#REF!</definedName>
    <definedName name="XDO_?TITL?3?">#REF!</definedName>
    <definedName name="XDO_?TITL?35?">SMAAF!$A$8:$A$63</definedName>
    <definedName name="XDO_?TITL?4?">#REF!</definedName>
    <definedName name="XDO_?TITL?7?">#REF!</definedName>
    <definedName name="XDO_?TITL?8?">#REF!</definedName>
    <definedName name="XDO_?YTM?1?">#REF!</definedName>
    <definedName name="XDO_?YTM?170?">SMAAF!$I$10:$I$63</definedName>
    <definedName name="XDO_?YTM?171?">SMAAF!$I$10:$I$71</definedName>
    <definedName name="XDO_?YTM?172?">SMAAF!$I$10:$I$76</definedName>
    <definedName name="XDO_?YTM?173?">SMAAF!$I$10:$I$112</definedName>
    <definedName name="XDO_?YTM?174?">SMAAF!$I$10:$I$123</definedName>
    <definedName name="XDO_?YTM?175?">SMAAF!$I$10:$I$127</definedName>
    <definedName name="XDO_?YTM?176?">SMAAF!$I$10:$I$146</definedName>
    <definedName name="XDO_?YTM?177?">SMAAF!$I$10:$I$158</definedName>
    <definedName name="XDO_?YTM?178?">SMAAF!$I$10:$I$163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49?">#REF!</definedName>
    <definedName name="XDO_?YTM?5?">#REF!</definedName>
    <definedName name="XDO_?YTM?50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2?">#REF!</definedName>
    <definedName name="XDO_GROUP_?G_2?3?">#REF!</definedName>
    <definedName name="XDO_GROUP_?G_2?35?">SMAAF!$2:$166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2?">#REF!</definedName>
    <definedName name="XDO_GROUP_?G_3?3?">#REF!</definedName>
    <definedName name="XDO_GROUP_?G_3?35?">SMAAF!$8:$165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70?">SMAAF!$B$10:$IV$63</definedName>
    <definedName name="XDO_GROUP_?G_4?171?">SMAAF!$B$71:$IV$71</definedName>
    <definedName name="XDO_GROUP_?G_4?172?">SMAAF!$B$75:$IV$76</definedName>
    <definedName name="XDO_GROUP_?G_4?173?">SMAAF!$B$85:$IV$112</definedName>
    <definedName name="XDO_GROUP_?G_4?174?">SMAAF!$B$120:$IV$123</definedName>
    <definedName name="XDO_GROUP_?G_4?175?">SMAAF!$B$127:$IV$127</definedName>
    <definedName name="XDO_GROUP_?G_4?176?">SMAAF!$B$144:$IV$146</definedName>
    <definedName name="XDO_GROUP_?G_4?177?">SMAAF!$B$158:$IV$158</definedName>
    <definedName name="XDO_GROUP_?G_4?178?">SMAAF!$B$163:$IV$163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49?">#REF!</definedName>
    <definedName name="XDO_GROUP_?G_4?5?">#REF!</definedName>
    <definedName name="XDO_GROUP_?G_4?50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1" l="1"/>
  <c r="G64" i="1"/>
</calcChain>
</file>

<file path=xl/sharedStrings.xml><?xml version="1.0" encoding="utf-8"?>
<sst xmlns="http://schemas.openxmlformats.org/spreadsheetml/2006/main" count="498" uniqueCount="372">
  <si>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</si>
  <si>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</si>
  <si>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</si>
  <si>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</si>
  <si>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</si>
  <si>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</si>
  <si>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</si>
  <si>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</si>
  <si>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</si>
  <si>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</si>
  <si>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</si>
  <si>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</si>
  <si>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</si>
  <si>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</si>
  <si>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</si>
  <si>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</si>
  <si>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</si>
  <si>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</si>
  <si>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</si>
  <si>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</si>
  <si>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</si>
  <si>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</si>
  <si>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</si>
  <si>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</si>
  <si>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</si>
  <si>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101207</t>
  </si>
  <si>
    <t>Restaurant Brands Asia Ltd.</t>
  </si>
  <si>
    <t>INE07T201019</t>
  </si>
  <si>
    <t>Leisure Services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</si>
  <si>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</si>
  <si>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</si>
  <si>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</si>
  <si>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</si>
  <si>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</si>
  <si>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</si>
  <si>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</si>
  <si>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</si>
  <si>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100771</t>
  </si>
  <si>
    <t>Bandhan Bank Ltd.</t>
  </si>
  <si>
    <t>INE545U01014</t>
  </si>
  <si>
    <t>100675</t>
  </si>
  <si>
    <t>VRL Logistics Ltd.</t>
  </si>
  <si>
    <t>INE366I01010</t>
  </si>
  <si>
    <t>Transport Services</t>
  </si>
  <si>
    <t>100024</t>
  </si>
  <si>
    <t>Axis Bank Ltd.</t>
  </si>
  <si>
    <t>INE238A01034</t>
  </si>
  <si>
    <t>101370</t>
  </si>
  <si>
    <t>Gokaldas Exports Ltd.</t>
  </si>
  <si>
    <t>INE887G01027</t>
  </si>
  <si>
    <t>Textiles &amp; Apparels</t>
  </si>
  <si>
    <t>100169</t>
  </si>
  <si>
    <t>Indian Oil Corporation Ltd.</t>
  </si>
  <si>
    <t>INE242A01010</t>
  </si>
  <si>
    <t>100043</t>
  </si>
  <si>
    <t>ZF Commercial Vehicle Control Systems India Ltd.</t>
  </si>
  <si>
    <t>INE342J01019</t>
  </si>
  <si>
    <t>Auto Components</t>
  </si>
  <si>
    <t>100112</t>
  </si>
  <si>
    <t>Punjab National Bank</t>
  </si>
  <si>
    <t>INE160A01022</t>
  </si>
  <si>
    <t>100176</t>
  </si>
  <si>
    <t>GAIL (India) Ltd.</t>
  </si>
  <si>
    <t>INE129A01019</t>
  </si>
  <si>
    <t>Gas</t>
  </si>
  <si>
    <t>100374</t>
  </si>
  <si>
    <t>CESC Ltd.</t>
  </si>
  <si>
    <t>INE486A01021</t>
  </si>
  <si>
    <t>Power</t>
  </si>
  <si>
    <t>100010</t>
  </si>
  <si>
    <t>State Bank of India</t>
  </si>
  <si>
    <t>INE062A01020</t>
  </si>
  <si>
    <t>100011</t>
  </si>
  <si>
    <t>Wipro Ltd.</t>
  </si>
  <si>
    <t>INE075A01022</t>
  </si>
  <si>
    <t>100154</t>
  </si>
  <si>
    <t>Colgate Palmolive (India) Ltd.</t>
  </si>
  <si>
    <t>INE259A01022</t>
  </si>
  <si>
    <t>Personal Products</t>
  </si>
  <si>
    <t>100147</t>
  </si>
  <si>
    <t>Tech Mahindra Ltd.</t>
  </si>
  <si>
    <t>INE669C01036</t>
  </si>
  <si>
    <t>100292</t>
  </si>
  <si>
    <t>Steel Authority of India Ltd.</t>
  </si>
  <si>
    <t>INE114A01011</t>
  </si>
  <si>
    <t>Ferrous Metals</t>
  </si>
  <si>
    <t>100694</t>
  </si>
  <si>
    <t>Indian Energy Exchange Ltd.</t>
  </si>
  <si>
    <t>INE022Q01020</t>
  </si>
  <si>
    <t>Capital Markets</t>
  </si>
  <si>
    <t>100447</t>
  </si>
  <si>
    <t>LTIMindtree Ltd.</t>
  </si>
  <si>
    <t>INE214T01019</t>
  </si>
  <si>
    <t>100421</t>
  </si>
  <si>
    <t>Dabur India Ltd.</t>
  </si>
  <si>
    <t>INE016A01026</t>
  </si>
  <si>
    <t>101378</t>
  </si>
  <si>
    <t>FSN E-Commerce Ventures Ltd.</t>
  </si>
  <si>
    <t>INE388Y01029</t>
  </si>
  <si>
    <t>Retailing</t>
  </si>
  <si>
    <t>100505</t>
  </si>
  <si>
    <t>ICICI Prudential Life Insurance Company Ltd.</t>
  </si>
  <si>
    <t>INE726G01019</t>
  </si>
  <si>
    <t>Insurance</t>
  </si>
  <si>
    <t>100370</t>
  </si>
  <si>
    <t>Biocon Ltd.</t>
  </si>
  <si>
    <t>INE376G01013</t>
  </si>
  <si>
    <t>Pharmaceuticals &amp; Biotechnology</t>
  </si>
  <si>
    <t>100259</t>
  </si>
  <si>
    <t>Kalpataru Projects International Ltd.</t>
  </si>
  <si>
    <t>INE220B01022</t>
  </si>
  <si>
    <t>Construction</t>
  </si>
  <si>
    <t>100111</t>
  </si>
  <si>
    <t>Oil &amp; Natural Gas Corporation Ltd.</t>
  </si>
  <si>
    <t>INE213A01029</t>
  </si>
  <si>
    <t>Oil</t>
  </si>
  <si>
    <t>100003</t>
  </si>
  <si>
    <t>Infosys Ltd.</t>
  </si>
  <si>
    <t>INE009A01021</t>
  </si>
  <si>
    <t>100047</t>
  </si>
  <si>
    <t>Emami Ltd.</t>
  </si>
  <si>
    <t>INE548C01032</t>
  </si>
  <si>
    <t>100550</t>
  </si>
  <si>
    <t>Sagar Cements Ltd.</t>
  </si>
  <si>
    <t>INE229C01021</t>
  </si>
  <si>
    <t>Cement &amp; Cement Products</t>
  </si>
  <si>
    <t>102005</t>
  </si>
  <si>
    <t>Tata Technologies Ltd.</t>
  </si>
  <si>
    <t>INE142M01025</t>
  </si>
  <si>
    <t>IT - Services</t>
  </si>
  <si>
    <t>100536</t>
  </si>
  <si>
    <t>VIP Industries Ltd.</t>
  </si>
  <si>
    <t>INE054A01027</t>
  </si>
  <si>
    <t>Consumer Durables</t>
  </si>
  <si>
    <t>101550</t>
  </si>
  <si>
    <t>Life Insurance Corporation of India</t>
  </si>
  <si>
    <t>INE0J1Y01017</t>
  </si>
  <si>
    <t>100257</t>
  </si>
  <si>
    <t>Whirlpool of India Ltd.</t>
  </si>
  <si>
    <t>INE716A01013</t>
  </si>
  <si>
    <t>100012</t>
  </si>
  <si>
    <t>ICICI Bank Ltd.</t>
  </si>
  <si>
    <t>INE090A01021</t>
  </si>
  <si>
    <t>100227</t>
  </si>
  <si>
    <t>Jubilant Foodworks Ltd.</t>
  </si>
  <si>
    <t>INE797F01020</t>
  </si>
  <si>
    <t>100256</t>
  </si>
  <si>
    <t>City Union Bank Ltd.</t>
  </si>
  <si>
    <t>INE491A01021</t>
  </si>
  <si>
    <t>100085</t>
  </si>
  <si>
    <t>Ashoka Buildcon Ltd.</t>
  </si>
  <si>
    <t>INE442H01029</t>
  </si>
  <si>
    <t>100107</t>
  </si>
  <si>
    <t>Max Financial Services Ltd.</t>
  </si>
  <si>
    <t>INE180A01020</t>
  </si>
  <si>
    <t>100566</t>
  </si>
  <si>
    <t>Laurus Labs Ltd.</t>
  </si>
  <si>
    <t>INE947Q01028</t>
  </si>
  <si>
    <t>100095</t>
  </si>
  <si>
    <t>Bharti Airtel Ltd.</t>
  </si>
  <si>
    <t>INE397D01024</t>
  </si>
  <si>
    <t>Telecom - Services</t>
  </si>
  <si>
    <t>100223</t>
  </si>
  <si>
    <t>United Spirits Ltd.</t>
  </si>
  <si>
    <t>INE854D01024</t>
  </si>
  <si>
    <t>Beverages</t>
  </si>
  <si>
    <t>100814</t>
  </si>
  <si>
    <t>HDFC Asset Management Co. Ltd.</t>
  </si>
  <si>
    <t>INE127D01025</t>
  </si>
  <si>
    <t>100723</t>
  </si>
  <si>
    <t>Ashiana Housing Ltd.</t>
  </si>
  <si>
    <t>INE365D01021</t>
  </si>
  <si>
    <t>Realty</t>
  </si>
  <si>
    <t>100743</t>
  </si>
  <si>
    <t>HeidelbergCement India Ltd.</t>
  </si>
  <si>
    <t>INE578A01017</t>
  </si>
  <si>
    <t>100224</t>
  </si>
  <si>
    <t>Mahindra Lifespace Developers Ltd.</t>
  </si>
  <si>
    <t>INE813A01018</t>
  </si>
  <si>
    <t>100768</t>
  </si>
  <si>
    <t>V-Mart Retail Ltd.</t>
  </si>
  <si>
    <t>INE665J01013</t>
  </si>
  <si>
    <t>101200</t>
  </si>
  <si>
    <t>Gland Pharma Ltd.</t>
  </si>
  <si>
    <t>INE068V01023</t>
  </si>
  <si>
    <t>101469</t>
  </si>
  <si>
    <t>Equitas Small Finance Bank Ltd.</t>
  </si>
  <si>
    <t>INE063P01018</t>
  </si>
  <si>
    <t>100165</t>
  </si>
  <si>
    <t>Rallis India Ltd.</t>
  </si>
  <si>
    <t>INE613A01020</t>
  </si>
  <si>
    <t>Fertilizers &amp; Agrochemicals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</si>
  <si>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</si>
  <si>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</si>
  <si>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</si>
  <si>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</si>
  <si>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</si>
  <si>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</si>
  <si>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</si>
  <si>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5300016</t>
  </si>
  <si>
    <t>INE813A20018</t>
  </si>
  <si>
    <t>R**,A**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</si>
  <si>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</si>
  <si>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</si>
  <si>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</si>
  <si>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</si>
  <si>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</si>
  <si>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</si>
  <si>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</si>
  <si>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</si>
  <si>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</si>
  <si>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</si>
  <si>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</si>
  <si>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</si>
  <si>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e)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</si>
  <si>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</si>
  <si>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</si>
  <si>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</si>
  <si>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</si>
  <si>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</si>
  <si>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</si>
  <si>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f) Compulsory Convertible Debentures</t>
  </si>
  <si>
    <t>6200001</t>
  </si>
  <si>
    <t>Cholamandalam Investment &amp; Finance Co. Ltd.</t>
  </si>
  <si>
    <t>INE121A08PJ0</t>
  </si>
  <si>
    <t>Finance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</si>
  <si>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</si>
  <si>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</si>
  <si>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</si>
  <si>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</si>
  <si>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</si>
  <si>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</si>
  <si>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AA+</t>
  </si>
  <si>
    <t>705316</t>
  </si>
  <si>
    <t>INE121A08PT9</t>
  </si>
  <si>
    <t>[ICRA]AA+</t>
  </si>
  <si>
    <t>704927</t>
  </si>
  <si>
    <t>Tata Power Renewable Energy Ltd. (Guaranteed by Tata Power Ltd.)</t>
  </si>
  <si>
    <t>INE607M08105</t>
  </si>
  <si>
    <t>704936</t>
  </si>
  <si>
    <t>Aditya Birla Renewables Ltd.</t>
  </si>
  <si>
    <t>INE01QP08016</t>
  </si>
  <si>
    <t>CRISIL AA</t>
  </si>
  <si>
    <t>704821</t>
  </si>
  <si>
    <t>Infopark Properties Ltd.</t>
  </si>
  <si>
    <t>INE0KZX07023</t>
  </si>
  <si>
    <t>CARE AA-</t>
  </si>
  <si>
    <t>705332</t>
  </si>
  <si>
    <t>TATA Capital Ltd.</t>
  </si>
  <si>
    <t>INE976I07CZ6</t>
  </si>
  <si>
    <t>CRISIL AAA</t>
  </si>
  <si>
    <t>705407</t>
  </si>
  <si>
    <t>Muthoot Finance Ltd.</t>
  </si>
  <si>
    <t>INE414G07II5</t>
  </si>
  <si>
    <t>704942</t>
  </si>
  <si>
    <t>Avanse Financial Services Ltd.</t>
  </si>
  <si>
    <t>INE087P07402</t>
  </si>
  <si>
    <t>704858</t>
  </si>
  <si>
    <t>SBFC Finance Ltd.</t>
  </si>
  <si>
    <t>INE423Y07112</t>
  </si>
  <si>
    <t>IND AA-</t>
  </si>
  <si>
    <t>705002</t>
  </si>
  <si>
    <t>Bank of Baroda( Tier II Bond under Basel III )</t>
  </si>
  <si>
    <t>INE028A08364</t>
  </si>
  <si>
    <t>705031</t>
  </si>
  <si>
    <t>Godrej Industries Ltd.</t>
  </si>
  <si>
    <t>INE233A08154</t>
  </si>
  <si>
    <t>704589</t>
  </si>
  <si>
    <t>Tata Projects Ltd.</t>
  </si>
  <si>
    <t>INE725H08162</t>
  </si>
  <si>
    <t>IND AA</t>
  </si>
  <si>
    <t>704778</t>
  </si>
  <si>
    <t>INE121A07SB3</t>
  </si>
  <si>
    <t>704592</t>
  </si>
  <si>
    <t>INE414G07IR6</t>
  </si>
  <si>
    <t>705292</t>
  </si>
  <si>
    <t>INE976I07CY9</t>
  </si>
  <si>
    <t>705334</t>
  </si>
  <si>
    <t>Bajaj Housing Finance Ltd.</t>
  </si>
  <si>
    <t>INE377Y07540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</si>
  <si>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</si>
  <si>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</si>
  <si>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</si>
  <si>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</si>
  <si>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</si>
  <si>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</si>
  <si>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704671</t>
  </si>
  <si>
    <t>JM Financial Credit Solutions Ltd.</t>
  </si>
  <si>
    <t>INE651J07978</t>
  </si>
  <si>
    <t>[ICRA]AA</t>
  </si>
  <si>
    <t>704484</t>
  </si>
  <si>
    <t>JM Financial Asset Reconstruction Company Ltd.</t>
  </si>
  <si>
    <t>INE265J07555</t>
  </si>
  <si>
    <t>CRISIL AA-</t>
  </si>
  <si>
    <t>704636</t>
  </si>
  <si>
    <t>Torrent Power Ltd.</t>
  </si>
  <si>
    <t>INE813H07341</t>
  </si>
  <si>
    <t>704655</t>
  </si>
  <si>
    <t>Indostar Capital Finance Ltd.</t>
  </si>
  <si>
    <t>INE896L07942</t>
  </si>
  <si>
    <t>704850</t>
  </si>
  <si>
    <t>Sundaram Finance Ltd.</t>
  </si>
  <si>
    <t>INE660A08CI7</t>
  </si>
  <si>
    <t>704693</t>
  </si>
  <si>
    <t>INE950O07446</t>
  </si>
  <si>
    <t>704296</t>
  </si>
  <si>
    <t>INE087P07337</t>
  </si>
  <si>
    <t>704443</t>
  </si>
  <si>
    <t>JM Financial Services Ltd.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</si>
  <si>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</si>
  <si>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</si>
  <si>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</si>
  <si>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</si>
  <si>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</si>
  <si>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</si>
  <si>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</si>
  <si>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</si>
  <si>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</si>
  <si>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900315</t>
  </si>
  <si>
    <t>6.92% CGL 2039</t>
  </si>
  <si>
    <t>IN0020240134</t>
  </si>
  <si>
    <t>Sovereign</t>
  </si>
  <si>
    <t>900308</t>
  </si>
  <si>
    <t>7.34% CGL 2064</t>
  </si>
  <si>
    <t>IN0020240035</t>
  </si>
  <si>
    <t>900312</t>
  </si>
  <si>
    <t>7.09% CGL 2054</t>
  </si>
  <si>
    <t>IN0020240118</t>
  </si>
  <si>
    <t>900313</t>
  </si>
  <si>
    <t>6.79% CGL 2034</t>
  </si>
  <si>
    <t>IN0020240126</t>
  </si>
  <si>
    <t>e) State Government Securities</t>
  </si>
  <si>
    <t>1905931</t>
  </si>
  <si>
    <t>7.10% State Government of West Bengal 2045</t>
  </si>
  <si>
    <t>IN3420240290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</si>
  <si>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</si>
  <si>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</si>
  <si>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</si>
  <si>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</si>
  <si>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</si>
  <si>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</si>
  <si>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</si>
  <si>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</si>
  <si>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2800002</t>
  </si>
  <si>
    <t>SBI Silver ETF</t>
  </si>
  <si>
    <t>INF200KB1217</t>
  </si>
  <si>
    <t>417210</t>
  </si>
  <si>
    <t>SBI Gold ETF</t>
  </si>
  <si>
    <t>INF200KA16D8</t>
  </si>
  <si>
    <t>2800001</t>
  </si>
  <si>
    <t>Nippon India Silver ETF</t>
  </si>
  <si>
    <t>INF204KC1402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</si>
  <si>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</si>
  <si>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</si>
  <si>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</si>
  <si>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</si>
  <si>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</si>
  <si>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206250100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</si>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</sst>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F4AD94B7-180F-4D02-BEB0-BD7A9691DD4A}"/>
    <cellStyle name="Style 1" xfId="3" xr:uid="{AD79BFF5-B04A-4C17-BD08-EED21C618C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2608633</xdr:colOff>
      <xdr:row>184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1F3C65-ABC7-40EC-BD52-F02133D55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3020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177</xdr:row>
      <xdr:rowOff>0</xdr:rowOff>
    </xdr:from>
    <xdr:to>
      <xdr:col>5</xdr:col>
      <xdr:colOff>989978</xdr:colOff>
      <xdr:row>184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02C2E3-8280-4FE4-B890-A5D5CE28F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33020000"/>
          <a:ext cx="264097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June\0606\May%202025\All%20Schemes%20Monthly%20Portfolio%20-%20as%20on%2031st%20May%202025.xlsx" TargetMode="External"/><Relationship Id="rId1" Type="http://schemas.openxmlformats.org/officeDocument/2006/relationships/externalLinkPath" Target="All%20Schemes%20Monthly%20Portfolio%20-%20as%20on%2031st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</sheetNames>
    <sheetDataSet>
      <sheetData sheetId="0"/>
      <sheetData sheetId="1"/>
      <sheetData sheetId="2"/>
      <sheetData sheetId="3"/>
      <sheetData sheetId="4">
        <row r="10">
          <cell r="G10">
            <v>525123</v>
          </cell>
          <cell r="H10">
            <v>6.94</v>
          </cell>
        </row>
        <row r="11">
          <cell r="G11">
            <v>332534</v>
          </cell>
          <cell r="H11">
            <v>4.4000000000000004</v>
          </cell>
        </row>
        <row r="12">
          <cell r="G12">
            <v>321135.18</v>
          </cell>
          <cell r="H12">
            <v>4.25</v>
          </cell>
        </row>
        <row r="13">
          <cell r="G13">
            <v>315554</v>
          </cell>
          <cell r="H13">
            <v>4.17</v>
          </cell>
        </row>
        <row r="14">
          <cell r="G14">
            <v>290455.93</v>
          </cell>
          <cell r="H14">
            <v>3.84</v>
          </cell>
        </row>
        <row r="15">
          <cell r="G15">
            <v>257868</v>
          </cell>
          <cell r="H15">
            <v>3.41</v>
          </cell>
        </row>
        <row r="16">
          <cell r="G16">
            <v>243690</v>
          </cell>
          <cell r="H16">
            <v>3.22</v>
          </cell>
        </row>
        <row r="17">
          <cell r="G17">
            <v>236070.5</v>
          </cell>
          <cell r="H17">
            <v>3.12</v>
          </cell>
        </row>
        <row r="18">
          <cell r="G18">
            <v>234405</v>
          </cell>
          <cell r="H18">
            <v>3.1</v>
          </cell>
        </row>
        <row r="19">
          <cell r="G19">
            <v>229512.5</v>
          </cell>
          <cell r="H19">
            <v>3.03</v>
          </cell>
        </row>
        <row r="20">
          <cell r="G20">
            <v>227881.5</v>
          </cell>
          <cell r="H20">
            <v>3.01</v>
          </cell>
        </row>
        <row r="21">
          <cell r="G21">
            <v>189377.9</v>
          </cell>
          <cell r="H21">
            <v>2.5</v>
          </cell>
        </row>
        <row r="22">
          <cell r="G22">
            <v>186550</v>
          </cell>
          <cell r="H22">
            <v>2.4700000000000002</v>
          </cell>
        </row>
        <row r="23">
          <cell r="G23">
            <v>184717</v>
          </cell>
          <cell r="H23">
            <v>2.44</v>
          </cell>
        </row>
        <row r="24">
          <cell r="G24">
            <v>170585.8</v>
          </cell>
          <cell r="H24">
            <v>2.2599999999999998</v>
          </cell>
        </row>
        <row r="25">
          <cell r="G25">
            <v>158375</v>
          </cell>
          <cell r="H25">
            <v>2.09</v>
          </cell>
        </row>
        <row r="26">
          <cell r="G26">
            <v>152389.6</v>
          </cell>
          <cell r="H26">
            <v>2.0099999999999998</v>
          </cell>
        </row>
        <row r="27">
          <cell r="G27">
            <v>132069.29999999999</v>
          </cell>
          <cell r="H27">
            <v>1.75</v>
          </cell>
        </row>
        <row r="28">
          <cell r="G28">
            <v>121699.68</v>
          </cell>
          <cell r="H28">
            <v>1.61</v>
          </cell>
        </row>
        <row r="29">
          <cell r="G29">
            <v>101439.1</v>
          </cell>
          <cell r="H29">
            <v>1.34</v>
          </cell>
        </row>
        <row r="30">
          <cell r="G30">
            <v>78764</v>
          </cell>
          <cell r="H30">
            <v>1.04</v>
          </cell>
        </row>
        <row r="31">
          <cell r="G31">
            <v>65305.5</v>
          </cell>
          <cell r="H31">
            <v>0.86</v>
          </cell>
        </row>
        <row r="32">
          <cell r="G32">
            <v>63441</v>
          </cell>
          <cell r="H32">
            <v>0.84</v>
          </cell>
        </row>
        <row r="33">
          <cell r="G33">
            <v>61030.84</v>
          </cell>
          <cell r="H33">
            <v>0.81</v>
          </cell>
        </row>
        <row r="34">
          <cell r="G34">
            <v>60860</v>
          </cell>
          <cell r="H34">
            <v>0.8</v>
          </cell>
        </row>
        <row r="35">
          <cell r="G35">
            <v>59093.22</v>
          </cell>
          <cell r="H35">
            <v>0.78</v>
          </cell>
        </row>
        <row r="36">
          <cell r="G36">
            <v>58980.83</v>
          </cell>
          <cell r="H36">
            <v>0.78</v>
          </cell>
        </row>
        <row r="37">
          <cell r="G37">
            <v>58411.199999999997</v>
          </cell>
          <cell r="H37">
            <v>0.77</v>
          </cell>
        </row>
        <row r="38">
          <cell r="G38">
            <v>54346.5</v>
          </cell>
          <cell r="H38">
            <v>0.72</v>
          </cell>
        </row>
        <row r="39">
          <cell r="G39">
            <v>51532.25</v>
          </cell>
          <cell r="H39">
            <v>0.68</v>
          </cell>
        </row>
        <row r="40">
          <cell r="G40">
            <v>48513.5</v>
          </cell>
          <cell r="H40">
            <v>0.64</v>
          </cell>
        </row>
        <row r="41">
          <cell r="G41">
            <v>39865</v>
          </cell>
          <cell r="H41">
            <v>0.53</v>
          </cell>
        </row>
        <row r="42">
          <cell r="G42">
            <v>33363.4</v>
          </cell>
          <cell r="H42">
            <v>0.44</v>
          </cell>
        </row>
        <row r="43">
          <cell r="G43">
            <v>31872.5</v>
          </cell>
          <cell r="H43">
            <v>0.42</v>
          </cell>
        </row>
        <row r="44">
          <cell r="G44">
            <v>25514.46</v>
          </cell>
          <cell r="H44">
            <v>0.34</v>
          </cell>
        </row>
        <row r="45">
          <cell r="G45">
            <v>22471.5</v>
          </cell>
          <cell r="H45">
            <v>0.3</v>
          </cell>
        </row>
        <row r="46">
          <cell r="G46">
            <v>18754</v>
          </cell>
          <cell r="H46">
            <v>0.25</v>
          </cell>
        </row>
        <row r="47">
          <cell r="G47">
            <v>15857.45</v>
          </cell>
          <cell r="H47">
            <v>0.21</v>
          </cell>
        </row>
        <row r="48">
          <cell r="G48">
            <v>13649.9</v>
          </cell>
          <cell r="H48">
            <v>0.18</v>
          </cell>
        </row>
        <row r="49">
          <cell r="G49">
            <v>11074.79</v>
          </cell>
          <cell r="H49">
            <v>0.15</v>
          </cell>
        </row>
        <row r="50">
          <cell r="G50">
            <v>2491.0100000000002</v>
          </cell>
          <cell r="H50">
            <v>0.03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330633</v>
          </cell>
          <cell r="H10">
            <v>8.91</v>
          </cell>
        </row>
        <row r="11">
          <cell r="G11">
            <v>209352</v>
          </cell>
          <cell r="H11">
            <v>5.64</v>
          </cell>
        </row>
        <row r="12">
          <cell r="G12">
            <v>201740</v>
          </cell>
          <cell r="H12">
            <v>5.43</v>
          </cell>
        </row>
        <row r="13">
          <cell r="G13">
            <v>196252</v>
          </cell>
          <cell r="H13">
            <v>5.29</v>
          </cell>
        </row>
        <row r="14">
          <cell r="G14">
            <v>186723</v>
          </cell>
          <cell r="H14">
            <v>5.03</v>
          </cell>
        </row>
        <row r="15">
          <cell r="G15">
            <v>159038</v>
          </cell>
          <cell r="H15">
            <v>4.28</v>
          </cell>
        </row>
        <row r="16">
          <cell r="G16">
            <v>155078</v>
          </cell>
          <cell r="H16">
            <v>4.18</v>
          </cell>
        </row>
        <row r="17">
          <cell r="G17">
            <v>154337</v>
          </cell>
          <cell r="H17">
            <v>4.16</v>
          </cell>
        </row>
        <row r="18">
          <cell r="G18">
            <v>137665.5</v>
          </cell>
          <cell r="H18">
            <v>3.71</v>
          </cell>
        </row>
        <row r="19">
          <cell r="G19">
            <v>129338.43</v>
          </cell>
          <cell r="H19">
            <v>3.48</v>
          </cell>
        </row>
        <row r="20">
          <cell r="G20">
            <v>125628</v>
          </cell>
          <cell r="H20">
            <v>3.38</v>
          </cell>
        </row>
        <row r="21">
          <cell r="G21">
            <v>112003.5</v>
          </cell>
          <cell r="H21">
            <v>3.02</v>
          </cell>
        </row>
        <row r="22">
          <cell r="G22">
            <v>109501.5</v>
          </cell>
          <cell r="H22">
            <v>2.95</v>
          </cell>
        </row>
        <row r="23">
          <cell r="G23">
            <v>100296</v>
          </cell>
          <cell r="H23">
            <v>2.7</v>
          </cell>
        </row>
        <row r="24">
          <cell r="G24">
            <v>96180</v>
          </cell>
          <cell r="H24">
            <v>2.59</v>
          </cell>
        </row>
        <row r="25">
          <cell r="G25">
            <v>93576</v>
          </cell>
          <cell r="H25">
            <v>2.52</v>
          </cell>
        </row>
        <row r="26">
          <cell r="G26">
            <v>92471.5</v>
          </cell>
          <cell r="H26">
            <v>2.4900000000000002</v>
          </cell>
        </row>
        <row r="27">
          <cell r="G27">
            <v>90340.800000000003</v>
          </cell>
          <cell r="H27">
            <v>2.4300000000000002</v>
          </cell>
        </row>
        <row r="28">
          <cell r="G28">
            <v>88122</v>
          </cell>
          <cell r="H28">
            <v>2.37</v>
          </cell>
        </row>
        <row r="29">
          <cell r="G29">
            <v>86796</v>
          </cell>
          <cell r="H29">
            <v>2.34</v>
          </cell>
        </row>
        <row r="30">
          <cell r="G30">
            <v>77928.600000000006</v>
          </cell>
          <cell r="H30">
            <v>2.1</v>
          </cell>
        </row>
        <row r="31">
          <cell r="G31">
            <v>66205.5</v>
          </cell>
          <cell r="H31">
            <v>1.78</v>
          </cell>
        </row>
        <row r="32">
          <cell r="G32">
            <v>43705</v>
          </cell>
          <cell r="H32">
            <v>1.18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0">
          <cell r="G10">
            <v>208659.76</v>
          </cell>
          <cell r="H10">
            <v>5.87</v>
          </cell>
        </row>
        <row r="11">
          <cell r="G11">
            <v>191060.69</v>
          </cell>
          <cell r="H11">
            <v>5.37</v>
          </cell>
        </row>
        <row r="12">
          <cell r="G12">
            <v>106286.61</v>
          </cell>
          <cell r="H12">
            <v>2.99</v>
          </cell>
        </row>
        <row r="13">
          <cell r="G13">
            <v>90175.6</v>
          </cell>
          <cell r="H13">
            <v>2.54</v>
          </cell>
        </row>
        <row r="14">
          <cell r="G14">
            <v>86161.56</v>
          </cell>
          <cell r="H14">
            <v>2.42</v>
          </cell>
        </row>
        <row r="15">
          <cell r="G15">
            <v>81955.41</v>
          </cell>
          <cell r="H15">
            <v>2.2999999999999998</v>
          </cell>
        </row>
        <row r="16">
          <cell r="G16">
            <v>71379.63</v>
          </cell>
          <cell r="H16">
            <v>2.0099999999999998</v>
          </cell>
        </row>
        <row r="17">
          <cell r="G17">
            <v>70940.22</v>
          </cell>
          <cell r="H17">
            <v>1.99</v>
          </cell>
        </row>
        <row r="18">
          <cell r="G18">
            <v>70695.41</v>
          </cell>
          <cell r="H18">
            <v>1.99</v>
          </cell>
        </row>
        <row r="19">
          <cell r="G19">
            <v>67018.52</v>
          </cell>
          <cell r="H19">
            <v>1.88</v>
          </cell>
        </row>
        <row r="20">
          <cell r="G20">
            <v>66497.460000000006</v>
          </cell>
          <cell r="H20">
            <v>1.87</v>
          </cell>
        </row>
        <row r="21">
          <cell r="G21">
            <v>65891.12</v>
          </cell>
          <cell r="H21">
            <v>1.85</v>
          </cell>
        </row>
        <row r="22">
          <cell r="G22">
            <v>61288.11</v>
          </cell>
          <cell r="H22">
            <v>1.72</v>
          </cell>
        </row>
        <row r="23">
          <cell r="G23">
            <v>59015.93</v>
          </cell>
          <cell r="H23">
            <v>1.66</v>
          </cell>
        </row>
        <row r="24">
          <cell r="G24">
            <v>56199.66</v>
          </cell>
          <cell r="H24">
            <v>1.58</v>
          </cell>
        </row>
        <row r="25">
          <cell r="G25">
            <v>55428.99</v>
          </cell>
          <cell r="H25">
            <v>1.56</v>
          </cell>
        </row>
        <row r="26">
          <cell r="G26">
            <v>55216</v>
          </cell>
          <cell r="H26">
            <v>1.55</v>
          </cell>
        </row>
        <row r="27">
          <cell r="G27">
            <v>47717.65</v>
          </cell>
          <cell r="H27">
            <v>1.34</v>
          </cell>
        </row>
        <row r="28">
          <cell r="G28">
            <v>43871.83</v>
          </cell>
          <cell r="H28">
            <v>1.23</v>
          </cell>
        </row>
        <row r="29">
          <cell r="G29">
            <v>43069.57</v>
          </cell>
          <cell r="H29">
            <v>1.21</v>
          </cell>
        </row>
        <row r="30">
          <cell r="G30">
            <v>42394.61</v>
          </cell>
          <cell r="H30">
            <v>1.19</v>
          </cell>
        </row>
        <row r="31">
          <cell r="G31">
            <v>38192.559999999998</v>
          </cell>
          <cell r="H31">
            <v>1.07</v>
          </cell>
        </row>
        <row r="32">
          <cell r="G32">
            <v>38066.6</v>
          </cell>
          <cell r="H32">
            <v>1.07</v>
          </cell>
        </row>
        <row r="33">
          <cell r="G33">
            <v>37329.39</v>
          </cell>
          <cell r="H33">
            <v>1.05</v>
          </cell>
        </row>
        <row r="34">
          <cell r="G34">
            <v>35109.79</v>
          </cell>
          <cell r="H34">
            <v>0.99</v>
          </cell>
        </row>
        <row r="35">
          <cell r="G35">
            <v>34152.089999999997</v>
          </cell>
          <cell r="H35">
            <v>0.96</v>
          </cell>
        </row>
        <row r="36">
          <cell r="G36">
            <v>33656.22</v>
          </cell>
          <cell r="H36">
            <v>0.95</v>
          </cell>
        </row>
        <row r="37">
          <cell r="G37">
            <v>31321.26</v>
          </cell>
          <cell r="H37">
            <v>0.88</v>
          </cell>
        </row>
        <row r="38">
          <cell r="G38">
            <v>30716.79</v>
          </cell>
          <cell r="H38">
            <v>0.86</v>
          </cell>
        </row>
        <row r="39">
          <cell r="G39">
            <v>29666.17</v>
          </cell>
          <cell r="H39">
            <v>0.83</v>
          </cell>
        </row>
        <row r="40">
          <cell r="G40">
            <v>29665.21</v>
          </cell>
          <cell r="H40">
            <v>0.83</v>
          </cell>
        </row>
        <row r="41">
          <cell r="G41">
            <v>28544.25</v>
          </cell>
          <cell r="H41">
            <v>0.8</v>
          </cell>
        </row>
        <row r="42">
          <cell r="G42">
            <v>28108.52</v>
          </cell>
          <cell r="H42">
            <v>0.79</v>
          </cell>
        </row>
        <row r="43">
          <cell r="G43">
            <v>25322.54</v>
          </cell>
          <cell r="H43">
            <v>0.71</v>
          </cell>
        </row>
        <row r="44">
          <cell r="G44">
            <v>23277.59</v>
          </cell>
          <cell r="H44">
            <v>0.65</v>
          </cell>
        </row>
        <row r="45">
          <cell r="G45">
            <v>23079.4</v>
          </cell>
          <cell r="H45">
            <v>0.65</v>
          </cell>
        </row>
        <row r="46">
          <cell r="G46">
            <v>21007.89</v>
          </cell>
          <cell r="H46">
            <v>0.59</v>
          </cell>
        </row>
        <row r="47">
          <cell r="G47">
            <v>18581.009999999998</v>
          </cell>
          <cell r="H47">
            <v>0.52</v>
          </cell>
        </row>
        <row r="48">
          <cell r="G48">
            <v>17418.97</v>
          </cell>
          <cell r="H48">
            <v>0.49</v>
          </cell>
        </row>
        <row r="49">
          <cell r="G49">
            <v>17070.330000000002</v>
          </cell>
          <cell r="H49">
            <v>0.48</v>
          </cell>
        </row>
        <row r="50">
          <cell r="G50">
            <v>15660.33</v>
          </cell>
          <cell r="H50">
            <v>0.44</v>
          </cell>
        </row>
        <row r="51">
          <cell r="G51">
            <v>14320</v>
          </cell>
          <cell r="H51">
            <v>0.4</v>
          </cell>
        </row>
        <row r="52">
          <cell r="G52">
            <v>13838.45</v>
          </cell>
          <cell r="H52">
            <v>0.39</v>
          </cell>
        </row>
        <row r="53">
          <cell r="G53">
            <v>13388.82</v>
          </cell>
          <cell r="H53">
            <v>0.38</v>
          </cell>
        </row>
        <row r="54">
          <cell r="G54">
            <v>13214.23</v>
          </cell>
          <cell r="H54">
            <v>0.37</v>
          </cell>
        </row>
        <row r="55">
          <cell r="G55">
            <v>12572.4</v>
          </cell>
          <cell r="H55">
            <v>0.35</v>
          </cell>
        </row>
        <row r="56">
          <cell r="G56">
            <v>12264.01</v>
          </cell>
          <cell r="H56">
            <v>0.34</v>
          </cell>
        </row>
        <row r="57">
          <cell r="G57">
            <v>10604.35</v>
          </cell>
          <cell r="H57">
            <v>0.3</v>
          </cell>
        </row>
        <row r="58">
          <cell r="G58">
            <v>10424.280000000001</v>
          </cell>
          <cell r="H58">
            <v>0.28999999999999998</v>
          </cell>
        </row>
        <row r="59">
          <cell r="G59">
            <v>10230.030000000001</v>
          </cell>
          <cell r="H59">
            <v>0.28999999999999998</v>
          </cell>
        </row>
        <row r="60">
          <cell r="G60">
            <v>9156.4</v>
          </cell>
          <cell r="H60">
            <v>0.26</v>
          </cell>
        </row>
        <row r="61">
          <cell r="G61">
            <v>8943.6299999999992</v>
          </cell>
          <cell r="H61">
            <v>0.25</v>
          </cell>
        </row>
        <row r="62">
          <cell r="G62">
            <v>7984.33</v>
          </cell>
          <cell r="H62">
            <v>0.22</v>
          </cell>
        </row>
        <row r="63">
          <cell r="G63">
            <v>7883.52</v>
          </cell>
          <cell r="H63">
            <v>0.22</v>
          </cell>
        </row>
        <row r="64">
          <cell r="G64">
            <v>7737.55</v>
          </cell>
          <cell r="H64">
            <v>0.22</v>
          </cell>
        </row>
        <row r="65">
          <cell r="G65">
            <v>7636.76</v>
          </cell>
          <cell r="H65">
            <v>0.21</v>
          </cell>
        </row>
        <row r="66">
          <cell r="G66">
            <v>7453.06</v>
          </cell>
          <cell r="H66">
            <v>0.21</v>
          </cell>
        </row>
        <row r="67">
          <cell r="G67">
            <v>6639.45</v>
          </cell>
          <cell r="H67">
            <v>0.19</v>
          </cell>
        </row>
        <row r="68">
          <cell r="G68">
            <v>6119.1</v>
          </cell>
          <cell r="H68">
            <v>0.17</v>
          </cell>
        </row>
        <row r="69">
          <cell r="G69">
            <v>6110.74</v>
          </cell>
          <cell r="H69">
            <v>0.17</v>
          </cell>
        </row>
        <row r="70">
          <cell r="G70">
            <v>6008.56</v>
          </cell>
          <cell r="H70">
            <v>0.17</v>
          </cell>
        </row>
        <row r="71">
          <cell r="G71">
            <v>5912.12</v>
          </cell>
          <cell r="H71">
            <v>0.17</v>
          </cell>
        </row>
        <row r="72">
          <cell r="G72">
            <v>5876.58</v>
          </cell>
          <cell r="H72">
            <v>0.17</v>
          </cell>
        </row>
        <row r="73">
          <cell r="G73">
            <v>5592.83</v>
          </cell>
          <cell r="H73">
            <v>0.16</v>
          </cell>
        </row>
        <row r="74">
          <cell r="G74">
            <v>3728.61</v>
          </cell>
          <cell r="H74">
            <v>0.1</v>
          </cell>
        </row>
        <row r="75">
          <cell r="G75">
            <v>3634.31</v>
          </cell>
          <cell r="H75">
            <v>0.1</v>
          </cell>
        </row>
        <row r="76">
          <cell r="G76">
            <v>3238.12</v>
          </cell>
          <cell r="H76">
            <v>0.09</v>
          </cell>
        </row>
        <row r="77">
          <cell r="G77">
            <v>2819.09</v>
          </cell>
          <cell r="H77">
            <v>0.08</v>
          </cell>
        </row>
        <row r="78">
          <cell r="G78">
            <v>2684.56</v>
          </cell>
          <cell r="H78">
            <v>0.08</v>
          </cell>
        </row>
        <row r="79">
          <cell r="G79">
            <v>1482.29</v>
          </cell>
          <cell r="H79">
            <v>0.04</v>
          </cell>
        </row>
        <row r="80">
          <cell r="G80">
            <v>1276.32</v>
          </cell>
          <cell r="H80">
            <v>0.04</v>
          </cell>
        </row>
        <row r="81">
          <cell r="G81">
            <v>1192.9000000000001</v>
          </cell>
          <cell r="H81">
            <v>0.03</v>
          </cell>
        </row>
        <row r="82">
          <cell r="G82">
            <v>1067.68</v>
          </cell>
          <cell r="H82">
            <v>0.03</v>
          </cell>
        </row>
        <row r="83">
          <cell r="G83">
            <v>1056.33</v>
          </cell>
          <cell r="H83">
            <v>0.03</v>
          </cell>
        </row>
        <row r="84">
          <cell r="G84">
            <v>1025.8699999999999</v>
          </cell>
          <cell r="H84">
            <v>0.03</v>
          </cell>
        </row>
        <row r="85">
          <cell r="G85">
            <v>1005.9</v>
          </cell>
          <cell r="H85">
            <v>0.03</v>
          </cell>
        </row>
        <row r="86">
          <cell r="G86">
            <v>678.16</v>
          </cell>
          <cell r="H86">
            <v>0.02</v>
          </cell>
        </row>
        <row r="87">
          <cell r="G87">
            <v>671.5</v>
          </cell>
          <cell r="H87">
            <v>0.02</v>
          </cell>
        </row>
        <row r="88">
          <cell r="G88">
            <v>631.73</v>
          </cell>
          <cell r="H88">
            <v>0.02</v>
          </cell>
        </row>
        <row r="89">
          <cell r="G89">
            <v>614.91</v>
          </cell>
          <cell r="H89">
            <v>0.02</v>
          </cell>
        </row>
        <row r="90">
          <cell r="G90">
            <v>463.8</v>
          </cell>
          <cell r="H90">
            <v>0.01</v>
          </cell>
        </row>
        <row r="91">
          <cell r="G91">
            <v>455.62</v>
          </cell>
          <cell r="H91">
            <v>0.01</v>
          </cell>
        </row>
        <row r="92">
          <cell r="G92">
            <v>439.21</v>
          </cell>
          <cell r="H92">
            <v>0.01</v>
          </cell>
        </row>
        <row r="93">
          <cell r="G93">
            <v>366.15</v>
          </cell>
          <cell r="H93">
            <v>0.01</v>
          </cell>
        </row>
        <row r="94">
          <cell r="G94">
            <v>206.15</v>
          </cell>
          <cell r="H94">
            <v>0.01</v>
          </cell>
        </row>
        <row r="95">
          <cell r="G95">
            <v>160.32</v>
          </cell>
          <cell r="H95" t="str">
            <v>#</v>
          </cell>
        </row>
        <row r="96">
          <cell r="G96">
            <v>141.84</v>
          </cell>
          <cell r="H96" t="str">
            <v>#</v>
          </cell>
        </row>
        <row r="97">
          <cell r="G97">
            <v>9.64</v>
          </cell>
          <cell r="H97" t="str">
            <v>#</v>
          </cell>
        </row>
        <row r="98">
          <cell r="G98">
            <v>3.13</v>
          </cell>
          <cell r="H98" t="str">
            <v>#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E7F3-E10C-4B47-B8FC-AFDC423F512D}">
  <sheetPr codeName="Sheet126"/>
  <dimension ref="A1:IV177"/>
  <sheetViews>
    <sheetView showGridLines="0" tabSelected="1" zoomScale="90" zoomScaleNormal="90" workbookViewId="0">
      <pane ySplit="6" topLeftCell="A168" activePane="bottomLeft" state="frozen"/>
      <selection activeCell="A2" sqref="A2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45808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1331000</v>
      </c>
      <c r="G10" s="34">
        <v>25886.62</v>
      </c>
      <c r="H10" s="34">
        <v>3.08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1720000</v>
      </c>
      <c r="G11" s="34">
        <v>24439.48</v>
      </c>
      <c r="H11" s="34">
        <v>2.91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20500000</v>
      </c>
      <c r="G12" s="34">
        <v>16666.5</v>
      </c>
      <c r="H12" s="34">
        <v>1.99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3800000</v>
      </c>
      <c r="G13" s="34">
        <v>15885.9</v>
      </c>
      <c r="H13" s="34">
        <v>1.89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780000</v>
      </c>
      <c r="G14" s="34">
        <v>12765.48</v>
      </c>
      <c r="H14" s="34">
        <v>1.52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20</v>
      </c>
      <c r="F15" s="33">
        <v>7500000</v>
      </c>
      <c r="G15" s="34">
        <v>12764.25</v>
      </c>
      <c r="H15" s="34">
        <v>1.52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43</v>
      </c>
      <c r="F16" s="33">
        <v>1870000</v>
      </c>
      <c r="G16" s="34">
        <v>10634.69</v>
      </c>
      <c r="H16" s="34">
        <v>1.27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20</v>
      </c>
      <c r="F17" s="33">
        <v>800000</v>
      </c>
      <c r="G17" s="34">
        <v>9537.6</v>
      </c>
      <c r="H17" s="34">
        <v>1.1399999999999999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880000</v>
      </c>
      <c r="G18" s="34">
        <v>8719.48</v>
      </c>
      <c r="H18" s="34">
        <v>1.04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24</v>
      </c>
      <c r="F19" s="33">
        <v>6000000</v>
      </c>
      <c r="G19" s="34">
        <v>8518.2000000000007</v>
      </c>
      <c r="H19" s="34">
        <v>1.01</v>
      </c>
      <c r="I19" s="35"/>
      <c r="J19" s="35"/>
      <c r="K19" s="36"/>
    </row>
    <row r="20" spans="2:11" x14ac:dyDescent="0.35">
      <c r="B20" s="1" t="s">
        <v>54</v>
      </c>
      <c r="C20" s="21" t="s">
        <v>55</v>
      </c>
      <c r="D20" s="31" t="s">
        <v>56</v>
      </c>
      <c r="E20" s="32" t="s">
        <v>57</v>
      </c>
      <c r="F20" s="33">
        <v>63550</v>
      </c>
      <c r="G20" s="34">
        <v>8495.36</v>
      </c>
      <c r="H20" s="34">
        <v>1.01</v>
      </c>
      <c r="I20" s="35"/>
      <c r="J20" s="35"/>
      <c r="K20" s="36"/>
    </row>
    <row r="21" spans="2:11" x14ac:dyDescent="0.35">
      <c r="B21" s="1" t="s">
        <v>58</v>
      </c>
      <c r="C21" s="21" t="s">
        <v>59</v>
      </c>
      <c r="D21" s="31" t="s">
        <v>60</v>
      </c>
      <c r="E21" s="32" t="s">
        <v>20</v>
      </c>
      <c r="F21" s="33">
        <v>8000000</v>
      </c>
      <c r="G21" s="34">
        <v>8465.6</v>
      </c>
      <c r="H21" s="34">
        <v>1.01</v>
      </c>
      <c r="I21" s="35"/>
      <c r="J21" s="35"/>
      <c r="K21" s="36"/>
    </row>
    <row r="22" spans="2:11" x14ac:dyDescent="0.35">
      <c r="B22" s="1" t="s">
        <v>61</v>
      </c>
      <c r="C22" s="21" t="s">
        <v>62</v>
      </c>
      <c r="D22" s="31" t="s">
        <v>63</v>
      </c>
      <c r="E22" s="32" t="s">
        <v>64</v>
      </c>
      <c r="F22" s="33">
        <v>4350297</v>
      </c>
      <c r="G22" s="34">
        <v>8256.86</v>
      </c>
      <c r="H22" s="34">
        <v>0.98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68</v>
      </c>
      <c r="F23" s="33">
        <v>5000000</v>
      </c>
      <c r="G23" s="34">
        <v>8120</v>
      </c>
      <c r="H23" s="34">
        <v>0.97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20</v>
      </c>
      <c r="F24" s="33">
        <v>950000</v>
      </c>
      <c r="G24" s="34">
        <v>7716.85</v>
      </c>
      <c r="H24" s="34">
        <v>0.92</v>
      </c>
      <c r="I24" s="35"/>
      <c r="J24" s="35"/>
      <c r="K24" s="36"/>
    </row>
    <row r="25" spans="2:11" x14ac:dyDescent="0.35">
      <c r="B25" s="1" t="s">
        <v>72</v>
      </c>
      <c r="C25" s="21" t="s">
        <v>73</v>
      </c>
      <c r="D25" s="31" t="s">
        <v>74</v>
      </c>
      <c r="E25" s="32" t="s">
        <v>36</v>
      </c>
      <c r="F25" s="33">
        <v>3000000</v>
      </c>
      <c r="G25" s="34">
        <v>7490.1</v>
      </c>
      <c r="H25" s="34">
        <v>0.89</v>
      </c>
      <c r="I25" s="35"/>
      <c r="J25" s="35"/>
      <c r="K25" s="36"/>
    </row>
    <row r="26" spans="2:11" x14ac:dyDescent="0.35">
      <c r="B26" s="1" t="s">
        <v>75</v>
      </c>
      <c r="C26" s="21" t="s">
        <v>76</v>
      </c>
      <c r="D26" s="31" t="s">
        <v>77</v>
      </c>
      <c r="E26" s="32" t="s">
        <v>78</v>
      </c>
      <c r="F26" s="33">
        <v>300000</v>
      </c>
      <c r="G26" s="34">
        <v>7367.7</v>
      </c>
      <c r="H26" s="34">
        <v>0.88</v>
      </c>
      <c r="I26" s="35"/>
      <c r="J26" s="35"/>
      <c r="K26" s="36"/>
    </row>
    <row r="27" spans="2:11" x14ac:dyDescent="0.35">
      <c r="B27" s="1" t="s">
        <v>79</v>
      </c>
      <c r="C27" s="21" t="s">
        <v>80</v>
      </c>
      <c r="D27" s="31" t="s">
        <v>81</v>
      </c>
      <c r="E27" s="32" t="s">
        <v>36</v>
      </c>
      <c r="F27" s="33">
        <v>465000</v>
      </c>
      <c r="G27" s="34">
        <v>7318.64</v>
      </c>
      <c r="H27" s="34">
        <v>0.87</v>
      </c>
      <c r="I27" s="35"/>
      <c r="J27" s="35"/>
      <c r="K27" s="36"/>
    </row>
    <row r="28" spans="2:11" x14ac:dyDescent="0.35">
      <c r="B28" s="1" t="s">
        <v>82</v>
      </c>
      <c r="C28" s="21" t="s">
        <v>83</v>
      </c>
      <c r="D28" s="31" t="s">
        <v>84</v>
      </c>
      <c r="E28" s="32" t="s">
        <v>85</v>
      </c>
      <c r="F28" s="33">
        <v>5630100</v>
      </c>
      <c r="G28" s="34">
        <v>7272.96</v>
      </c>
      <c r="H28" s="34">
        <v>0.87</v>
      </c>
      <c r="I28" s="35"/>
      <c r="J28" s="35"/>
      <c r="K28" s="36"/>
    </row>
    <row r="29" spans="2:11" x14ac:dyDescent="0.35">
      <c r="B29" s="1" t="s">
        <v>86</v>
      </c>
      <c r="C29" s="21" t="s">
        <v>87</v>
      </c>
      <c r="D29" s="31" t="s">
        <v>88</v>
      </c>
      <c r="E29" s="32" t="s">
        <v>89</v>
      </c>
      <c r="F29" s="33">
        <v>3500000</v>
      </c>
      <c r="G29" s="34">
        <v>7019.25</v>
      </c>
      <c r="H29" s="34">
        <v>0.84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36</v>
      </c>
      <c r="F30" s="33">
        <v>135247</v>
      </c>
      <c r="G30" s="34">
        <v>6855.54</v>
      </c>
      <c r="H30" s="34">
        <v>0.82</v>
      </c>
      <c r="I30" s="35"/>
      <c r="J30" s="35"/>
      <c r="K30" s="36"/>
    </row>
    <row r="31" spans="2:11" x14ac:dyDescent="0.35">
      <c r="B31" s="1" t="s">
        <v>93</v>
      </c>
      <c r="C31" s="21" t="s">
        <v>94</v>
      </c>
      <c r="D31" s="31" t="s">
        <v>95</v>
      </c>
      <c r="E31" s="32" t="s">
        <v>78</v>
      </c>
      <c r="F31" s="33">
        <v>1400000</v>
      </c>
      <c r="G31" s="34">
        <v>6761.3</v>
      </c>
      <c r="H31" s="34">
        <v>0.81</v>
      </c>
      <c r="I31" s="35"/>
      <c r="J31" s="35"/>
      <c r="K31" s="36"/>
    </row>
    <row r="32" spans="2:11" x14ac:dyDescent="0.35">
      <c r="B32" s="1" t="s">
        <v>96</v>
      </c>
      <c r="C32" s="21" t="s">
        <v>97</v>
      </c>
      <c r="D32" s="31" t="s">
        <v>98</v>
      </c>
      <c r="E32" s="32" t="s">
        <v>99</v>
      </c>
      <c r="F32" s="33">
        <v>3300000</v>
      </c>
      <c r="G32" s="34">
        <v>6707.58</v>
      </c>
      <c r="H32" s="34">
        <v>0.8</v>
      </c>
      <c r="I32" s="35"/>
      <c r="J32" s="35"/>
      <c r="K32" s="36"/>
    </row>
    <row r="33" spans="2:11" x14ac:dyDescent="0.35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1012032</v>
      </c>
      <c r="G33" s="34">
        <v>6703.7</v>
      </c>
      <c r="H33" s="34">
        <v>0.8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1916589</v>
      </c>
      <c r="G34" s="34">
        <v>6436.86</v>
      </c>
      <c r="H34" s="34">
        <v>0.77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561076</v>
      </c>
      <c r="G35" s="34">
        <v>6389.25</v>
      </c>
      <c r="H35" s="34">
        <v>0.76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2500000</v>
      </c>
      <c r="G36" s="34">
        <v>5985</v>
      </c>
      <c r="H36" s="34">
        <v>0.71</v>
      </c>
      <c r="I36" s="35"/>
      <c r="J36" s="35"/>
      <c r="K36" s="36"/>
    </row>
    <row r="37" spans="2:11" x14ac:dyDescent="0.35">
      <c r="B37" s="1" t="s">
        <v>116</v>
      </c>
      <c r="C37" s="21" t="s">
        <v>117</v>
      </c>
      <c r="D37" s="31" t="s">
        <v>118</v>
      </c>
      <c r="E37" s="32" t="s">
        <v>36</v>
      </c>
      <c r="F37" s="33">
        <v>380000</v>
      </c>
      <c r="G37" s="34">
        <v>5938.26</v>
      </c>
      <c r="H37" s="34">
        <v>0.71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78</v>
      </c>
      <c r="F38" s="33">
        <v>1000000</v>
      </c>
      <c r="G38" s="34">
        <v>5842</v>
      </c>
      <c r="H38" s="34">
        <v>0.7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2321227</v>
      </c>
      <c r="G39" s="34">
        <v>5573.5</v>
      </c>
      <c r="H39" s="34">
        <v>0.66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711574</v>
      </c>
      <c r="G40" s="34">
        <v>5504.74</v>
      </c>
      <c r="H40" s="34">
        <v>0.66</v>
      </c>
      <c r="I40" s="35"/>
      <c r="J40" s="35"/>
      <c r="K40" s="36"/>
    </row>
    <row r="41" spans="2:11" x14ac:dyDescent="0.35">
      <c r="B41" s="1" t="s">
        <v>130</v>
      </c>
      <c r="C41" s="21" t="s">
        <v>131</v>
      </c>
      <c r="D41" s="31" t="s">
        <v>132</v>
      </c>
      <c r="E41" s="32" t="s">
        <v>133</v>
      </c>
      <c r="F41" s="33">
        <v>1374277</v>
      </c>
      <c r="G41" s="34">
        <v>4970.76</v>
      </c>
      <c r="H41" s="34">
        <v>0.59</v>
      </c>
      <c r="I41" s="35"/>
      <c r="J41" s="35"/>
      <c r="K41" s="36"/>
    </row>
    <row r="42" spans="2:11" x14ac:dyDescent="0.35">
      <c r="B42" s="1" t="s">
        <v>134</v>
      </c>
      <c r="C42" s="21" t="s">
        <v>135</v>
      </c>
      <c r="D42" s="31" t="s">
        <v>136</v>
      </c>
      <c r="E42" s="32" t="s">
        <v>103</v>
      </c>
      <c r="F42" s="33">
        <v>500000</v>
      </c>
      <c r="G42" s="34">
        <v>4772.25</v>
      </c>
      <c r="H42" s="34">
        <v>0.56999999999999995</v>
      </c>
      <c r="I42" s="35"/>
      <c r="J42" s="35"/>
      <c r="K42" s="36"/>
    </row>
    <row r="43" spans="2:11" x14ac:dyDescent="0.35">
      <c r="B43" s="1" t="s">
        <v>137</v>
      </c>
      <c r="C43" s="21" t="s">
        <v>138</v>
      </c>
      <c r="D43" s="31" t="s">
        <v>139</v>
      </c>
      <c r="E43" s="32" t="s">
        <v>133</v>
      </c>
      <c r="F43" s="33">
        <v>381643</v>
      </c>
      <c r="G43" s="34">
        <v>4716.7299999999996</v>
      </c>
      <c r="H43" s="34">
        <v>0.56000000000000005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20</v>
      </c>
      <c r="F44" s="33">
        <v>320000</v>
      </c>
      <c r="G44" s="34">
        <v>4626.5600000000004</v>
      </c>
      <c r="H44" s="34">
        <v>0.55000000000000004</v>
      </c>
      <c r="I44" s="35"/>
      <c r="J44" s="35"/>
      <c r="K44" s="36"/>
    </row>
    <row r="45" spans="2:11" x14ac:dyDescent="0.35">
      <c r="B45" s="1" t="s">
        <v>143</v>
      </c>
      <c r="C45" s="21" t="s">
        <v>144</v>
      </c>
      <c r="D45" s="31" t="s">
        <v>145</v>
      </c>
      <c r="E45" s="32" t="s">
        <v>28</v>
      </c>
      <c r="F45" s="33">
        <v>639295</v>
      </c>
      <c r="G45" s="34">
        <v>4190.8999999999996</v>
      </c>
      <c r="H45" s="34">
        <v>0.5</v>
      </c>
      <c r="I45" s="35"/>
      <c r="J45" s="35"/>
      <c r="K45" s="36"/>
    </row>
    <row r="46" spans="2:11" x14ac:dyDescent="0.35">
      <c r="B46" s="1" t="s">
        <v>146</v>
      </c>
      <c r="C46" s="21" t="s">
        <v>147</v>
      </c>
      <c r="D46" s="31" t="s">
        <v>148</v>
      </c>
      <c r="E46" s="32" t="s">
        <v>20</v>
      </c>
      <c r="F46" s="33">
        <v>1960755</v>
      </c>
      <c r="G46" s="34">
        <v>3837.2</v>
      </c>
      <c r="H46" s="34">
        <v>0.46</v>
      </c>
      <c r="I46" s="35"/>
      <c r="J46" s="35"/>
      <c r="K46" s="36"/>
    </row>
    <row r="47" spans="2:11" x14ac:dyDescent="0.35">
      <c r="B47" s="1" t="s">
        <v>149</v>
      </c>
      <c r="C47" s="21" t="s">
        <v>150</v>
      </c>
      <c r="D47" s="31" t="s">
        <v>151</v>
      </c>
      <c r="E47" s="32" t="s">
        <v>111</v>
      </c>
      <c r="F47" s="33">
        <v>1693793</v>
      </c>
      <c r="G47" s="34">
        <v>3727.7</v>
      </c>
      <c r="H47" s="34">
        <v>0.44</v>
      </c>
      <c r="I47" s="35"/>
      <c r="J47" s="35"/>
      <c r="K47" s="36"/>
    </row>
    <row r="48" spans="2:11" x14ac:dyDescent="0.35">
      <c r="B48" s="1" t="s">
        <v>152</v>
      </c>
      <c r="C48" s="21" t="s">
        <v>153</v>
      </c>
      <c r="D48" s="31" t="s">
        <v>154</v>
      </c>
      <c r="E48" s="32" t="s">
        <v>103</v>
      </c>
      <c r="F48" s="33">
        <v>219043</v>
      </c>
      <c r="G48" s="34">
        <v>3291.56</v>
      </c>
      <c r="H48" s="34">
        <v>0.39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107</v>
      </c>
      <c r="F49" s="33">
        <v>525000</v>
      </c>
      <c r="G49" s="34">
        <v>3200.4</v>
      </c>
      <c r="H49" s="34">
        <v>0.38</v>
      </c>
      <c r="I49" s="35"/>
      <c r="J49" s="35"/>
      <c r="K49" s="36"/>
    </row>
    <row r="50" spans="2:11" x14ac:dyDescent="0.35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160000</v>
      </c>
      <c r="G50" s="34">
        <v>2969.92</v>
      </c>
      <c r="H50" s="34">
        <v>0.35</v>
      </c>
      <c r="I50" s="35"/>
      <c r="J50" s="35"/>
      <c r="K50" s="36"/>
    </row>
    <row r="51" spans="2:11" x14ac:dyDescent="0.35">
      <c r="B51" s="1" t="s">
        <v>162</v>
      </c>
      <c r="C51" s="21" t="s">
        <v>163</v>
      </c>
      <c r="D51" s="31" t="s">
        <v>164</v>
      </c>
      <c r="E51" s="32" t="s">
        <v>165</v>
      </c>
      <c r="F51" s="33">
        <v>179171</v>
      </c>
      <c r="G51" s="34">
        <v>2723.58</v>
      </c>
      <c r="H51" s="34">
        <v>0.32</v>
      </c>
      <c r="I51" s="35"/>
      <c r="J51" s="35"/>
      <c r="K51" s="36"/>
    </row>
    <row r="52" spans="2:11" x14ac:dyDescent="0.35">
      <c r="B52" s="1" t="s">
        <v>166</v>
      </c>
      <c r="C52" s="21" t="s">
        <v>167</v>
      </c>
      <c r="D52" s="31" t="s">
        <v>168</v>
      </c>
      <c r="E52" s="32" t="s">
        <v>89</v>
      </c>
      <c r="F52" s="33">
        <v>56794</v>
      </c>
      <c r="G52" s="34">
        <v>2716.46</v>
      </c>
      <c r="H52" s="34">
        <v>0.32</v>
      </c>
      <c r="I52" s="35"/>
      <c r="J52" s="35"/>
      <c r="K52" s="36"/>
    </row>
    <row r="53" spans="2:11" x14ac:dyDescent="0.35">
      <c r="B53" s="1" t="s">
        <v>169</v>
      </c>
      <c r="C53" s="21" t="s">
        <v>170</v>
      </c>
      <c r="D53" s="31" t="s">
        <v>171</v>
      </c>
      <c r="E53" s="32" t="s">
        <v>172</v>
      </c>
      <c r="F53" s="33">
        <v>829665</v>
      </c>
      <c r="G53" s="34">
        <v>2666.54</v>
      </c>
      <c r="H53" s="34">
        <v>0.32</v>
      </c>
      <c r="I53" s="35"/>
      <c r="J53" s="35"/>
      <c r="K53" s="36"/>
    </row>
    <row r="54" spans="2:11" x14ac:dyDescent="0.35">
      <c r="B54" s="1" t="s">
        <v>173</v>
      </c>
      <c r="C54" s="21" t="s">
        <v>174</v>
      </c>
      <c r="D54" s="31" t="s">
        <v>175</v>
      </c>
      <c r="E54" s="32" t="s">
        <v>125</v>
      </c>
      <c r="F54" s="33">
        <v>1300000</v>
      </c>
      <c r="G54" s="34">
        <v>2567.37</v>
      </c>
      <c r="H54" s="34">
        <v>0.31</v>
      </c>
      <c r="I54" s="35"/>
      <c r="J54" s="35"/>
      <c r="K54" s="36"/>
    </row>
    <row r="55" spans="2:11" x14ac:dyDescent="0.35">
      <c r="B55" s="1" t="s">
        <v>176</v>
      </c>
      <c r="C55" s="21" t="s">
        <v>177</v>
      </c>
      <c r="D55" s="31" t="s">
        <v>178</v>
      </c>
      <c r="E55" s="32" t="s">
        <v>172</v>
      </c>
      <c r="F55" s="33">
        <v>738287</v>
      </c>
      <c r="G55" s="34">
        <v>2561.12</v>
      </c>
      <c r="H55" s="34">
        <v>0.31</v>
      </c>
      <c r="I55" s="35"/>
      <c r="J55" s="35"/>
      <c r="K55" s="36"/>
    </row>
    <row r="56" spans="2:11" x14ac:dyDescent="0.35">
      <c r="B56" s="1" t="s">
        <v>179</v>
      </c>
      <c r="C56" s="21" t="s">
        <v>180</v>
      </c>
      <c r="D56" s="31" t="s">
        <v>181</v>
      </c>
      <c r="E56" s="32" t="s">
        <v>99</v>
      </c>
      <c r="F56" s="33">
        <v>70726</v>
      </c>
      <c r="G56" s="34">
        <v>2406.9499999999998</v>
      </c>
      <c r="H56" s="34">
        <v>0.28999999999999998</v>
      </c>
      <c r="I56" s="35"/>
      <c r="J56" s="35"/>
      <c r="K56" s="36"/>
    </row>
    <row r="57" spans="2:11" x14ac:dyDescent="0.35">
      <c r="B57" s="1" t="s">
        <v>182</v>
      </c>
      <c r="C57" s="21" t="s">
        <v>183</v>
      </c>
      <c r="D57" s="31" t="s">
        <v>184</v>
      </c>
      <c r="E57" s="32" t="s">
        <v>107</v>
      </c>
      <c r="F57" s="33">
        <v>147079</v>
      </c>
      <c r="G57" s="34">
        <v>2336.5</v>
      </c>
      <c r="H57" s="34">
        <v>0.28000000000000003</v>
      </c>
      <c r="I57" s="35"/>
      <c r="J57" s="35"/>
      <c r="K57" s="36"/>
    </row>
    <row r="58" spans="2:11" x14ac:dyDescent="0.35">
      <c r="B58" s="1" t="s">
        <v>185</v>
      </c>
      <c r="C58" s="21" t="s">
        <v>186</v>
      </c>
      <c r="D58" s="31" t="s">
        <v>187</v>
      </c>
      <c r="E58" s="32" t="s">
        <v>20</v>
      </c>
      <c r="F58" s="33">
        <v>3465000</v>
      </c>
      <c r="G58" s="34">
        <v>2204.09</v>
      </c>
      <c r="H58" s="34">
        <v>0.26</v>
      </c>
      <c r="I58" s="35"/>
      <c r="J58" s="35"/>
      <c r="K58" s="36"/>
    </row>
    <row r="59" spans="2:11" x14ac:dyDescent="0.35">
      <c r="B59" s="1" t="s">
        <v>188</v>
      </c>
      <c r="C59" s="21" t="s">
        <v>189</v>
      </c>
      <c r="D59" s="31" t="s">
        <v>190</v>
      </c>
      <c r="E59" s="32" t="s">
        <v>191</v>
      </c>
      <c r="F59" s="33">
        <v>500000</v>
      </c>
      <c r="G59" s="34">
        <v>1600.3</v>
      </c>
      <c r="H59" s="34">
        <v>0.19</v>
      </c>
      <c r="I59" s="35"/>
      <c r="J59" s="35"/>
      <c r="K59" s="36"/>
    </row>
    <row r="60" spans="2:11" x14ac:dyDescent="0.35">
      <c r="B60" s="1" t="s">
        <v>192</v>
      </c>
      <c r="C60" s="21" t="s">
        <v>193</v>
      </c>
      <c r="D60" s="31" t="s">
        <v>194</v>
      </c>
      <c r="E60" s="32" t="s">
        <v>133</v>
      </c>
      <c r="F60" s="33">
        <v>677027</v>
      </c>
      <c r="G60" s="34">
        <v>1151.3499999999999</v>
      </c>
      <c r="H60" s="34">
        <v>0.14000000000000001</v>
      </c>
      <c r="I60" s="35"/>
      <c r="J60" s="35"/>
      <c r="K60" s="36"/>
    </row>
    <row r="61" spans="2:11" x14ac:dyDescent="0.35">
      <c r="B61" s="1" t="s">
        <v>195</v>
      </c>
      <c r="C61" s="21" t="s">
        <v>196</v>
      </c>
      <c r="D61" s="31" t="s">
        <v>197</v>
      </c>
      <c r="E61" s="32" t="s">
        <v>198</v>
      </c>
      <c r="F61" s="33">
        <v>75000</v>
      </c>
      <c r="G61" s="34">
        <v>738.94</v>
      </c>
      <c r="H61" s="34">
        <v>0.09</v>
      </c>
      <c r="I61" s="35"/>
      <c r="J61" s="35"/>
      <c r="K61" s="36"/>
    </row>
    <row r="62" spans="2:11" x14ac:dyDescent="0.35">
      <c r="B62" s="1" t="s">
        <v>199</v>
      </c>
      <c r="C62" s="21" t="s">
        <v>177</v>
      </c>
      <c r="D62" s="31" t="s">
        <v>200</v>
      </c>
      <c r="E62" s="32" t="s">
        <v>172</v>
      </c>
      <c r="F62" s="33">
        <v>276857</v>
      </c>
      <c r="G62" s="34">
        <v>248.89</v>
      </c>
      <c r="H62" s="34">
        <v>0.03</v>
      </c>
      <c r="I62" s="35"/>
      <c r="J62" s="35"/>
      <c r="K62" s="36" t="s">
        <v>201</v>
      </c>
    </row>
    <row r="63" spans="2:11" x14ac:dyDescent="0.35">
      <c r="B63" s="1" t="s">
        <v>202</v>
      </c>
      <c r="C63" s="21" t="s">
        <v>203</v>
      </c>
      <c r="D63" s="31" t="s">
        <v>204</v>
      </c>
      <c r="E63" s="32" t="s">
        <v>125</v>
      </c>
      <c r="F63" s="33">
        <v>22541</v>
      </c>
      <c r="G63" s="34">
        <v>80.66</v>
      </c>
      <c r="H63" s="34">
        <v>0.01</v>
      </c>
      <c r="I63" s="35"/>
      <c r="J63" s="35"/>
      <c r="K63" s="36"/>
    </row>
    <row r="64" spans="2:11" x14ac:dyDescent="0.35">
      <c r="C64" s="30" t="s">
        <v>205</v>
      </c>
      <c r="D64" s="31"/>
      <c r="E64" s="32"/>
      <c r="F64" s="33"/>
      <c r="G64" s="38">
        <f>SUM(XDO_?FINAL_MV?170?)</f>
        <v>356345.98000000004</v>
      </c>
      <c r="H64" s="38">
        <f>SUM(XDO_?FINAL_PER_NET?170?)</f>
        <v>42.470000000000013</v>
      </c>
      <c r="I64" s="35"/>
      <c r="J64" s="35"/>
      <c r="K64" s="36"/>
    </row>
    <row r="65" spans="2:11" x14ac:dyDescent="0.35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5">
      <c r="C66" s="30" t="s">
        <v>206</v>
      </c>
      <c r="D66" s="31"/>
      <c r="E66" s="32"/>
      <c r="F66" s="33"/>
      <c r="G66" s="34" t="s">
        <v>207</v>
      </c>
      <c r="H66" s="34" t="s">
        <v>207</v>
      </c>
      <c r="I66" s="35"/>
      <c r="J66" s="35"/>
      <c r="K66" s="36"/>
    </row>
    <row r="67" spans="2:11" x14ac:dyDescent="0.35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35">
      <c r="C68" s="30" t="s">
        <v>208</v>
      </c>
      <c r="D68" s="31"/>
      <c r="E68" s="32"/>
      <c r="F68" s="33"/>
      <c r="G68" s="34" t="s">
        <v>207</v>
      </c>
      <c r="H68" s="34" t="s">
        <v>207</v>
      </c>
      <c r="I68" s="35"/>
      <c r="J68" s="35"/>
      <c r="K68" s="36"/>
    </row>
    <row r="69" spans="2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5">
      <c r="C70" s="37" t="s">
        <v>209</v>
      </c>
      <c r="D70" s="31"/>
      <c r="E70" s="32"/>
      <c r="F70" s="33"/>
      <c r="G70" s="34"/>
      <c r="H70" s="34"/>
      <c r="I70" s="35"/>
      <c r="J70" s="35"/>
      <c r="K70" s="36"/>
    </row>
    <row r="71" spans="2:11" x14ac:dyDescent="0.35">
      <c r="B71" s="1" t="s">
        <v>210</v>
      </c>
      <c r="C71" s="21" t="s">
        <v>211</v>
      </c>
      <c r="D71" s="31" t="s">
        <v>212</v>
      </c>
      <c r="E71" s="32" t="s">
        <v>213</v>
      </c>
      <c r="F71" s="33">
        <v>2600000</v>
      </c>
      <c r="G71" s="34">
        <v>3120</v>
      </c>
      <c r="H71" s="34">
        <v>0.37</v>
      </c>
      <c r="I71" s="35"/>
      <c r="J71" s="35"/>
      <c r="K71" s="36"/>
    </row>
    <row r="72" spans="2:11" x14ac:dyDescent="0.35">
      <c r="C72" s="30" t="s">
        <v>205</v>
      </c>
      <c r="D72" s="31"/>
      <c r="E72" s="32"/>
      <c r="F72" s="33"/>
      <c r="G72" s="38">
        <v>3120</v>
      </c>
      <c r="H72" s="38">
        <v>0.37</v>
      </c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7" t="s">
        <v>214</v>
      </c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B75" s="1" t="s">
        <v>215</v>
      </c>
      <c r="C75" s="21" t="s">
        <v>216</v>
      </c>
      <c r="D75" s="31" t="s">
        <v>217</v>
      </c>
      <c r="E75" s="32" t="s">
        <v>172</v>
      </c>
      <c r="F75" s="33">
        <v>7664234</v>
      </c>
      <c r="G75" s="34">
        <v>23447.96</v>
      </c>
      <c r="H75" s="34">
        <v>2.79</v>
      </c>
      <c r="I75" s="35"/>
      <c r="J75" s="35"/>
      <c r="K75" s="36"/>
    </row>
    <row r="76" spans="2:11" x14ac:dyDescent="0.35">
      <c r="B76" s="1" t="s">
        <v>218</v>
      </c>
      <c r="C76" s="21" t="s">
        <v>219</v>
      </c>
      <c r="D76" s="31" t="s">
        <v>220</v>
      </c>
      <c r="E76" s="32" t="s">
        <v>172</v>
      </c>
      <c r="F76" s="33">
        <v>4900000</v>
      </c>
      <c r="G76" s="34">
        <v>18688.599999999999</v>
      </c>
      <c r="H76" s="34">
        <v>2.23</v>
      </c>
      <c r="I76" s="35"/>
      <c r="J76" s="35"/>
      <c r="K76" s="36"/>
    </row>
    <row r="77" spans="2:11" x14ac:dyDescent="0.35">
      <c r="C77" s="30" t="s">
        <v>205</v>
      </c>
      <c r="D77" s="31"/>
      <c r="E77" s="32"/>
      <c r="F77" s="33"/>
      <c r="G77" s="38">
        <v>42136.56</v>
      </c>
      <c r="H77" s="38">
        <v>5.0199999999999996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7" t="s">
        <v>221</v>
      </c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B80" s="1" t="s">
        <v>222</v>
      </c>
      <c r="C80" s="21" t="s">
        <v>223</v>
      </c>
      <c r="D80" s="31" t="s">
        <v>224</v>
      </c>
      <c r="E80" s="32" t="s">
        <v>225</v>
      </c>
      <c r="F80" s="33">
        <v>6000</v>
      </c>
      <c r="G80" s="34">
        <v>6883.41</v>
      </c>
      <c r="H80" s="34">
        <v>0.82</v>
      </c>
      <c r="I80" s="35">
        <v>7.3949999999999996</v>
      </c>
      <c r="J80" s="35"/>
      <c r="K80" s="36" t="s">
        <v>226</v>
      </c>
    </row>
    <row r="81" spans="1:11" x14ac:dyDescent="0.35">
      <c r="C81" s="30" t="s">
        <v>205</v>
      </c>
      <c r="D81" s="31"/>
      <c r="E81" s="32"/>
      <c r="F81" s="33"/>
      <c r="G81" s="38">
        <v>6883.41</v>
      </c>
      <c r="H81" s="38">
        <v>0.82</v>
      </c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A83" s="28"/>
      <c r="B83" s="29"/>
      <c r="C83" s="30" t="s">
        <v>227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7" t="s">
        <v>228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B85" s="1" t="s">
        <v>229</v>
      </c>
      <c r="C85" s="21" t="s">
        <v>230</v>
      </c>
      <c r="D85" s="31" t="s">
        <v>231</v>
      </c>
      <c r="E85" s="32" t="s">
        <v>232</v>
      </c>
      <c r="F85" s="33">
        <v>20000</v>
      </c>
      <c r="G85" s="34">
        <v>20811.66</v>
      </c>
      <c r="H85" s="34">
        <v>2.48</v>
      </c>
      <c r="I85" s="35">
        <v>7.6150000000000002</v>
      </c>
      <c r="J85" s="35"/>
      <c r="K85" s="36" t="s">
        <v>226</v>
      </c>
    </row>
    <row r="86" spans="1:11" x14ac:dyDescent="0.35">
      <c r="B86" s="1" t="s">
        <v>233</v>
      </c>
      <c r="C86" s="21" t="s">
        <v>223</v>
      </c>
      <c r="D86" s="31" t="s">
        <v>234</v>
      </c>
      <c r="E86" s="32" t="s">
        <v>235</v>
      </c>
      <c r="F86" s="33">
        <v>20000</v>
      </c>
      <c r="G86" s="34">
        <v>20471.939999999999</v>
      </c>
      <c r="H86" s="34">
        <v>2.44</v>
      </c>
      <c r="I86" s="35">
        <v>8.5625</v>
      </c>
      <c r="J86" s="35"/>
      <c r="K86" s="36" t="s">
        <v>226</v>
      </c>
    </row>
    <row r="87" spans="1:11" x14ac:dyDescent="0.35">
      <c r="B87" s="1" t="s">
        <v>236</v>
      </c>
      <c r="C87" s="21" t="s">
        <v>237</v>
      </c>
      <c r="D87" s="31" t="s">
        <v>238</v>
      </c>
      <c r="E87" s="32" t="s">
        <v>235</v>
      </c>
      <c r="F87" s="33">
        <v>20000</v>
      </c>
      <c r="G87" s="34">
        <v>20432.22</v>
      </c>
      <c r="H87" s="34">
        <v>2.4300000000000002</v>
      </c>
      <c r="I87" s="35">
        <v>7.5095999999999998</v>
      </c>
      <c r="J87" s="35"/>
      <c r="K87" s="36" t="s">
        <v>226</v>
      </c>
    </row>
    <row r="88" spans="1:11" x14ac:dyDescent="0.35">
      <c r="B88" s="1" t="s">
        <v>239</v>
      </c>
      <c r="C88" s="21" t="s">
        <v>240</v>
      </c>
      <c r="D88" s="31" t="s">
        <v>241</v>
      </c>
      <c r="E88" s="32" t="s">
        <v>242</v>
      </c>
      <c r="F88" s="33">
        <v>20000</v>
      </c>
      <c r="G88" s="34">
        <v>20411.48</v>
      </c>
      <c r="H88" s="34">
        <v>2.4300000000000002</v>
      </c>
      <c r="I88" s="35">
        <v>7.5650000000000004</v>
      </c>
      <c r="J88" s="35"/>
      <c r="K88" s="36" t="s">
        <v>226</v>
      </c>
    </row>
    <row r="89" spans="1:11" x14ac:dyDescent="0.35">
      <c r="B89" s="1" t="s">
        <v>243</v>
      </c>
      <c r="C89" s="21" t="s">
        <v>244</v>
      </c>
      <c r="D89" s="31" t="s">
        <v>245</v>
      </c>
      <c r="E89" s="32" t="s">
        <v>246</v>
      </c>
      <c r="F89" s="33">
        <v>16000</v>
      </c>
      <c r="G89" s="34">
        <v>16173.09</v>
      </c>
      <c r="H89" s="34">
        <v>1.93</v>
      </c>
      <c r="I89" s="35">
        <v>7.4749999999999996</v>
      </c>
      <c r="J89" s="35"/>
      <c r="K89" s="36" t="s">
        <v>226</v>
      </c>
    </row>
    <row r="90" spans="1:11" x14ac:dyDescent="0.35">
      <c r="B90" s="1" t="s">
        <v>247</v>
      </c>
      <c r="C90" s="21" t="s">
        <v>248</v>
      </c>
      <c r="D90" s="31" t="s">
        <v>249</v>
      </c>
      <c r="E90" s="32" t="s">
        <v>250</v>
      </c>
      <c r="F90" s="33">
        <v>15000</v>
      </c>
      <c r="G90" s="34">
        <v>15237.54</v>
      </c>
      <c r="H90" s="34">
        <v>1.82</v>
      </c>
      <c r="I90" s="35">
        <v>7.2133000000000003</v>
      </c>
      <c r="J90" s="35"/>
      <c r="K90" s="36"/>
    </row>
    <row r="91" spans="1:11" x14ac:dyDescent="0.35">
      <c r="B91" s="1" t="s">
        <v>251</v>
      </c>
      <c r="C91" s="21" t="s">
        <v>252</v>
      </c>
      <c r="D91" s="31" t="s">
        <v>253</v>
      </c>
      <c r="E91" s="32" t="s">
        <v>232</v>
      </c>
      <c r="F91" s="33">
        <v>15000</v>
      </c>
      <c r="G91" s="34">
        <v>15103.17</v>
      </c>
      <c r="H91" s="34">
        <v>1.8</v>
      </c>
      <c r="I91" s="35">
        <v>8.1281999999999996</v>
      </c>
      <c r="J91" s="35"/>
      <c r="K91" s="36"/>
    </row>
    <row r="92" spans="1:11" x14ac:dyDescent="0.35">
      <c r="B92" s="1" t="s">
        <v>254</v>
      </c>
      <c r="C92" s="21" t="s">
        <v>255</v>
      </c>
      <c r="D92" s="31" t="s">
        <v>256</v>
      </c>
      <c r="E92" s="32" t="s">
        <v>246</v>
      </c>
      <c r="F92" s="33">
        <v>15000</v>
      </c>
      <c r="G92" s="34">
        <v>15057.92</v>
      </c>
      <c r="H92" s="34">
        <v>1.79</v>
      </c>
      <c r="I92" s="35">
        <v>9.2049000000000003</v>
      </c>
      <c r="J92" s="35"/>
      <c r="K92" s="36" t="s">
        <v>226</v>
      </c>
    </row>
    <row r="93" spans="1:11" x14ac:dyDescent="0.35">
      <c r="B93" s="1" t="s">
        <v>257</v>
      </c>
      <c r="C93" s="21" t="s">
        <v>258</v>
      </c>
      <c r="D93" s="31" t="s">
        <v>259</v>
      </c>
      <c r="E93" s="32" t="s">
        <v>260</v>
      </c>
      <c r="F93" s="33">
        <v>12500</v>
      </c>
      <c r="G93" s="34">
        <v>12496.15</v>
      </c>
      <c r="H93" s="34">
        <v>1.49</v>
      </c>
      <c r="I93" s="35">
        <v>8.5699000000000005</v>
      </c>
      <c r="J93" s="35"/>
      <c r="K93" s="36" t="s">
        <v>226</v>
      </c>
    </row>
    <row r="94" spans="1:11" x14ac:dyDescent="0.35">
      <c r="B94" s="1" t="s">
        <v>261</v>
      </c>
      <c r="C94" s="21" t="s">
        <v>262</v>
      </c>
      <c r="D94" s="31" t="s">
        <v>263</v>
      </c>
      <c r="E94" s="32" t="s">
        <v>250</v>
      </c>
      <c r="F94" s="33">
        <v>100</v>
      </c>
      <c r="G94" s="34">
        <v>10248.41</v>
      </c>
      <c r="H94" s="34">
        <v>1.22</v>
      </c>
      <c r="I94" s="35">
        <v>7.1223999999999998</v>
      </c>
      <c r="J94" s="35">
        <v>7.0335299685499999</v>
      </c>
      <c r="K94" s="36" t="s">
        <v>226</v>
      </c>
    </row>
    <row r="95" spans="1:11" x14ac:dyDescent="0.35">
      <c r="B95" s="1" t="s">
        <v>264</v>
      </c>
      <c r="C95" s="21" t="s">
        <v>265</v>
      </c>
      <c r="D95" s="31" t="s">
        <v>266</v>
      </c>
      <c r="E95" s="32" t="s">
        <v>232</v>
      </c>
      <c r="F95" s="33">
        <v>10000</v>
      </c>
      <c r="G95" s="34">
        <v>10201.09</v>
      </c>
      <c r="H95" s="34">
        <v>1.22</v>
      </c>
      <c r="I95" s="35">
        <v>7.32</v>
      </c>
      <c r="J95" s="35"/>
      <c r="K95" s="36" t="s">
        <v>226</v>
      </c>
    </row>
    <row r="96" spans="1:11" x14ac:dyDescent="0.35">
      <c r="B96" s="1" t="s">
        <v>267</v>
      </c>
      <c r="C96" s="21" t="s">
        <v>268</v>
      </c>
      <c r="D96" s="31" t="s">
        <v>269</v>
      </c>
      <c r="E96" s="32" t="s">
        <v>270</v>
      </c>
      <c r="F96" s="33">
        <v>9000</v>
      </c>
      <c r="G96" s="34">
        <v>9145.24</v>
      </c>
      <c r="H96" s="34">
        <v>1.0900000000000001</v>
      </c>
      <c r="I96" s="35">
        <v>7.2350000000000003</v>
      </c>
      <c r="J96" s="35"/>
      <c r="K96" s="36" t="s">
        <v>226</v>
      </c>
    </row>
    <row r="97" spans="2:11" x14ac:dyDescent="0.35">
      <c r="B97" s="1" t="s">
        <v>271</v>
      </c>
      <c r="C97" s="21" t="s">
        <v>223</v>
      </c>
      <c r="D97" s="31" t="s">
        <v>272</v>
      </c>
      <c r="E97" s="32" t="s">
        <v>235</v>
      </c>
      <c r="F97" s="33">
        <v>7500</v>
      </c>
      <c r="G97" s="34">
        <v>7651.48</v>
      </c>
      <c r="H97" s="34">
        <v>0.91</v>
      </c>
      <c r="I97" s="35">
        <v>7.42</v>
      </c>
      <c r="J97" s="35"/>
      <c r="K97" s="36" t="s">
        <v>226</v>
      </c>
    </row>
    <row r="98" spans="2:11" x14ac:dyDescent="0.35">
      <c r="B98" s="1" t="s">
        <v>273</v>
      </c>
      <c r="C98" s="21" t="s">
        <v>252</v>
      </c>
      <c r="D98" s="31" t="s">
        <v>274</v>
      </c>
      <c r="E98" s="32" t="s">
        <v>232</v>
      </c>
      <c r="F98" s="33">
        <v>7500</v>
      </c>
      <c r="G98" s="34">
        <v>7597.28</v>
      </c>
      <c r="H98" s="34">
        <v>0.9</v>
      </c>
      <c r="I98" s="35">
        <v>8.0350000000000001</v>
      </c>
      <c r="J98" s="35"/>
      <c r="K98" s="36" t="s">
        <v>226</v>
      </c>
    </row>
    <row r="99" spans="2:11" x14ac:dyDescent="0.35">
      <c r="B99" s="1" t="s">
        <v>275</v>
      </c>
      <c r="C99" s="21" t="s">
        <v>248</v>
      </c>
      <c r="D99" s="31" t="s">
        <v>276</v>
      </c>
      <c r="E99" s="32" t="s">
        <v>250</v>
      </c>
      <c r="F99" s="33">
        <v>5000</v>
      </c>
      <c r="G99" s="34">
        <v>5098.47</v>
      </c>
      <c r="H99" s="34">
        <v>0.61</v>
      </c>
      <c r="I99" s="35">
        <v>7.16</v>
      </c>
      <c r="J99" s="35"/>
      <c r="K99" s="36" t="s">
        <v>226</v>
      </c>
    </row>
    <row r="100" spans="2:11" x14ac:dyDescent="0.35">
      <c r="B100" s="1" t="s">
        <v>277</v>
      </c>
      <c r="C100" s="21" t="s">
        <v>278</v>
      </c>
      <c r="D100" s="31" t="s">
        <v>279</v>
      </c>
      <c r="E100" s="32" t="s">
        <v>250</v>
      </c>
      <c r="F100" s="33">
        <v>5000</v>
      </c>
      <c r="G100" s="34">
        <v>5093.0200000000004</v>
      </c>
      <c r="H100" s="34">
        <v>0.61</v>
      </c>
      <c r="I100" s="35">
        <v>7.2249999999999996</v>
      </c>
      <c r="J100" s="35"/>
      <c r="K100" s="36" t="s">
        <v>226</v>
      </c>
    </row>
    <row r="101" spans="2:11" x14ac:dyDescent="0.35">
      <c r="B101" s="1" t="s">
        <v>280</v>
      </c>
      <c r="C101" s="21" t="s">
        <v>281</v>
      </c>
      <c r="D101" s="31" t="s">
        <v>282</v>
      </c>
      <c r="E101" s="32" t="s">
        <v>250</v>
      </c>
      <c r="F101" s="33">
        <v>5000</v>
      </c>
      <c r="G101" s="34">
        <v>5088.53</v>
      </c>
      <c r="H101" s="34">
        <v>0.61</v>
      </c>
      <c r="I101" s="35">
        <v>7.2249999999999996</v>
      </c>
      <c r="J101" s="35"/>
      <c r="K101" s="36" t="s">
        <v>226</v>
      </c>
    </row>
    <row r="102" spans="2:11" x14ac:dyDescent="0.35">
      <c r="B102" s="1" t="s">
        <v>283</v>
      </c>
      <c r="C102" s="21" t="s">
        <v>284</v>
      </c>
      <c r="D102" s="31" t="s">
        <v>285</v>
      </c>
      <c r="E102" s="32" t="s">
        <v>250</v>
      </c>
      <c r="F102" s="33">
        <v>5000</v>
      </c>
      <c r="G102" s="34">
        <v>5071.82</v>
      </c>
      <c r="H102" s="34">
        <v>0.6</v>
      </c>
      <c r="I102" s="35">
        <v>7.3349000000000002</v>
      </c>
      <c r="J102" s="35"/>
      <c r="K102" s="36" t="s">
        <v>226</v>
      </c>
    </row>
    <row r="103" spans="2:11" x14ac:dyDescent="0.35">
      <c r="B103" s="1" t="s">
        <v>286</v>
      </c>
      <c r="C103" s="21" t="s">
        <v>287</v>
      </c>
      <c r="D103" s="31" t="s">
        <v>288</v>
      </c>
      <c r="E103" s="32" t="s">
        <v>289</v>
      </c>
      <c r="F103" s="33">
        <v>5000</v>
      </c>
      <c r="G103" s="34">
        <v>5061.25</v>
      </c>
      <c r="H103" s="34">
        <v>0.6</v>
      </c>
      <c r="I103" s="35">
        <v>8.5890000000000004</v>
      </c>
      <c r="J103" s="35"/>
      <c r="K103" s="36" t="s">
        <v>226</v>
      </c>
    </row>
    <row r="104" spans="2:11" x14ac:dyDescent="0.35">
      <c r="B104" s="1" t="s">
        <v>290</v>
      </c>
      <c r="C104" s="21" t="s">
        <v>291</v>
      </c>
      <c r="D104" s="31" t="s">
        <v>292</v>
      </c>
      <c r="E104" s="32" t="s">
        <v>293</v>
      </c>
      <c r="F104" s="33">
        <v>5000</v>
      </c>
      <c r="G104" s="34">
        <v>5041.07</v>
      </c>
      <c r="H104" s="34">
        <v>0.6</v>
      </c>
      <c r="I104" s="35">
        <v>8.8524999999999991</v>
      </c>
      <c r="J104" s="35"/>
      <c r="K104" s="36" t="s">
        <v>226</v>
      </c>
    </row>
    <row r="105" spans="2:11" x14ac:dyDescent="0.35">
      <c r="B105" s="1" t="s">
        <v>294</v>
      </c>
      <c r="C105" s="21" t="s">
        <v>295</v>
      </c>
      <c r="D105" s="31" t="s">
        <v>296</v>
      </c>
      <c r="E105" s="32" t="s">
        <v>232</v>
      </c>
      <c r="F105" s="33">
        <v>4000</v>
      </c>
      <c r="G105" s="34">
        <v>4077.08</v>
      </c>
      <c r="H105" s="34">
        <v>0.49</v>
      </c>
      <c r="I105" s="35">
        <v>7.0648999999999997</v>
      </c>
      <c r="J105" s="35"/>
      <c r="K105" s="36" t="s">
        <v>226</v>
      </c>
    </row>
    <row r="106" spans="2:11" x14ac:dyDescent="0.35">
      <c r="B106" s="1" t="s">
        <v>297</v>
      </c>
      <c r="C106" s="21" t="s">
        <v>298</v>
      </c>
      <c r="D106" s="31" t="s">
        <v>299</v>
      </c>
      <c r="E106" s="32" t="s">
        <v>293</v>
      </c>
      <c r="F106" s="33">
        <v>3000</v>
      </c>
      <c r="G106" s="34">
        <v>3010.71</v>
      </c>
      <c r="H106" s="34">
        <v>0.36</v>
      </c>
      <c r="I106" s="35">
        <v>9.0799000000000003</v>
      </c>
      <c r="J106" s="35"/>
      <c r="K106" s="36" t="s">
        <v>226</v>
      </c>
    </row>
    <row r="107" spans="2:11" x14ac:dyDescent="0.35">
      <c r="B107" s="1" t="s">
        <v>300</v>
      </c>
      <c r="C107" s="21" t="s">
        <v>301</v>
      </c>
      <c r="D107" s="31" t="s">
        <v>302</v>
      </c>
      <c r="E107" s="32" t="s">
        <v>250</v>
      </c>
      <c r="F107" s="33">
        <v>2500</v>
      </c>
      <c r="G107" s="34">
        <v>2608.35</v>
      </c>
      <c r="H107" s="34">
        <v>0.31</v>
      </c>
      <c r="I107" s="35">
        <v>7.5500999999999996</v>
      </c>
      <c r="J107" s="35"/>
      <c r="K107" s="36" t="s">
        <v>226</v>
      </c>
    </row>
    <row r="108" spans="2:11" x14ac:dyDescent="0.35">
      <c r="B108" s="1" t="s">
        <v>303</v>
      </c>
      <c r="C108" s="21" t="s">
        <v>281</v>
      </c>
      <c r="D108" s="31" t="s">
        <v>304</v>
      </c>
      <c r="E108" s="32" t="s">
        <v>250</v>
      </c>
      <c r="F108" s="33">
        <v>2500</v>
      </c>
      <c r="G108" s="34">
        <v>2569.33</v>
      </c>
      <c r="H108" s="34">
        <v>0.31</v>
      </c>
      <c r="I108" s="35">
        <v>7.5149999999999997</v>
      </c>
      <c r="J108" s="35"/>
      <c r="K108" s="36" t="s">
        <v>226</v>
      </c>
    </row>
    <row r="109" spans="2:11" x14ac:dyDescent="0.35">
      <c r="B109" s="1" t="s">
        <v>305</v>
      </c>
      <c r="C109" s="21" t="s">
        <v>255</v>
      </c>
      <c r="D109" s="31" t="s">
        <v>306</v>
      </c>
      <c r="E109" s="32" t="s">
        <v>246</v>
      </c>
      <c r="F109" s="33">
        <v>2500</v>
      </c>
      <c r="G109" s="34">
        <v>2512.81</v>
      </c>
      <c r="H109" s="34">
        <v>0.3</v>
      </c>
      <c r="I109" s="35">
        <v>9.17</v>
      </c>
      <c r="J109" s="35"/>
      <c r="K109" s="36" t="s">
        <v>226</v>
      </c>
    </row>
    <row r="110" spans="2:11" x14ac:dyDescent="0.35">
      <c r="B110" s="1" t="s">
        <v>307</v>
      </c>
      <c r="C110" s="21" t="s">
        <v>308</v>
      </c>
      <c r="D110" s="31" t="s">
        <v>309</v>
      </c>
      <c r="E110" s="32" t="s">
        <v>289</v>
      </c>
      <c r="F110" s="33">
        <v>2400</v>
      </c>
      <c r="G110" s="34">
        <v>2422.54</v>
      </c>
      <c r="H110" s="34">
        <v>0.28999999999999998</v>
      </c>
      <c r="I110" s="35">
        <v>8.1074000000000002</v>
      </c>
      <c r="J110" s="35"/>
      <c r="K110" s="36" t="s">
        <v>226</v>
      </c>
    </row>
    <row r="111" spans="2:11" x14ac:dyDescent="0.35">
      <c r="B111" s="1" t="s">
        <v>310</v>
      </c>
      <c r="C111" s="21" t="s">
        <v>311</v>
      </c>
      <c r="D111" s="31" t="s">
        <v>312</v>
      </c>
      <c r="E111" s="32" t="s">
        <v>270</v>
      </c>
      <c r="F111" s="33">
        <v>2300</v>
      </c>
      <c r="G111" s="34">
        <v>2322.23</v>
      </c>
      <c r="H111" s="34">
        <v>0.28000000000000003</v>
      </c>
      <c r="I111" s="35">
        <v>7.43</v>
      </c>
      <c r="J111" s="35"/>
      <c r="K111" s="36" t="s">
        <v>226</v>
      </c>
    </row>
    <row r="112" spans="2:11" x14ac:dyDescent="0.35">
      <c r="B112" s="1" t="s">
        <v>313</v>
      </c>
      <c r="C112" s="21" t="s">
        <v>252</v>
      </c>
      <c r="D112" s="31" t="s">
        <v>314</v>
      </c>
      <c r="E112" s="32" t="s">
        <v>232</v>
      </c>
      <c r="F112" s="33">
        <v>1500</v>
      </c>
      <c r="G112" s="34">
        <v>1506.95</v>
      </c>
      <c r="H112" s="34">
        <v>0.18</v>
      </c>
      <c r="I112" s="35">
        <v>7.55</v>
      </c>
      <c r="J112" s="35"/>
      <c r="K112" s="36" t="s">
        <v>226</v>
      </c>
    </row>
    <row r="113" spans="2:11" x14ac:dyDescent="0.35">
      <c r="C113" s="30" t="s">
        <v>205</v>
      </c>
      <c r="D113" s="31"/>
      <c r="E113" s="32"/>
      <c r="F113" s="33"/>
      <c r="G113" s="38">
        <v>252522.83</v>
      </c>
      <c r="H113" s="38">
        <v>30.1</v>
      </c>
      <c r="I113" s="35"/>
      <c r="J113" s="35"/>
      <c r="K113" s="36"/>
    </row>
    <row r="114" spans="2:11" x14ac:dyDescent="0.3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2:11" x14ac:dyDescent="0.35">
      <c r="C115" s="30" t="s">
        <v>315</v>
      </c>
      <c r="D115" s="31"/>
      <c r="E115" s="32"/>
      <c r="F115" s="33"/>
      <c r="G115" s="34" t="s">
        <v>207</v>
      </c>
      <c r="H115" s="34" t="s">
        <v>207</v>
      </c>
      <c r="I115" s="35"/>
      <c r="J115" s="35"/>
      <c r="K115" s="36"/>
    </row>
    <row r="116" spans="2:11" x14ac:dyDescent="0.35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2:11" x14ac:dyDescent="0.35">
      <c r="C117" s="30" t="s">
        <v>316</v>
      </c>
      <c r="D117" s="31"/>
      <c r="E117" s="32"/>
      <c r="F117" s="33"/>
      <c r="G117" s="34" t="s">
        <v>207</v>
      </c>
      <c r="H117" s="34" t="s">
        <v>207</v>
      </c>
      <c r="I117" s="35"/>
      <c r="J117" s="35"/>
      <c r="K117" s="36"/>
    </row>
    <row r="118" spans="2:11" x14ac:dyDescent="0.35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2:11" x14ac:dyDescent="0.35">
      <c r="C119" s="37" t="s">
        <v>317</v>
      </c>
      <c r="D119" s="31"/>
      <c r="E119" s="32"/>
      <c r="F119" s="33"/>
      <c r="G119" s="34"/>
      <c r="H119" s="34"/>
      <c r="I119" s="35"/>
      <c r="J119" s="35"/>
      <c r="K119" s="36"/>
    </row>
    <row r="120" spans="2:11" x14ac:dyDescent="0.35">
      <c r="B120" s="1" t="s">
        <v>318</v>
      </c>
      <c r="C120" s="21" t="s">
        <v>319</v>
      </c>
      <c r="D120" s="31" t="s">
        <v>320</v>
      </c>
      <c r="E120" s="32" t="s">
        <v>321</v>
      </c>
      <c r="F120" s="33">
        <v>25000000</v>
      </c>
      <c r="G120" s="34">
        <v>26176.63</v>
      </c>
      <c r="H120" s="34">
        <v>3.12</v>
      </c>
      <c r="I120" s="35">
        <v>6.5183014999999997</v>
      </c>
      <c r="J120" s="35"/>
      <c r="K120" s="36"/>
    </row>
    <row r="121" spans="2:11" x14ac:dyDescent="0.35">
      <c r="B121" s="1" t="s">
        <v>322</v>
      </c>
      <c r="C121" s="21" t="s">
        <v>323</v>
      </c>
      <c r="D121" s="31" t="s">
        <v>324</v>
      </c>
      <c r="E121" s="32" t="s">
        <v>321</v>
      </c>
      <c r="F121" s="33">
        <v>7500000</v>
      </c>
      <c r="G121" s="34">
        <v>7983.26</v>
      </c>
      <c r="H121" s="34">
        <v>0.95</v>
      </c>
      <c r="I121" s="35">
        <v>6.9802173999999999</v>
      </c>
      <c r="J121" s="35"/>
      <c r="K121" s="36"/>
    </row>
    <row r="122" spans="2:11" x14ac:dyDescent="0.35">
      <c r="B122" s="1" t="s">
        <v>325</v>
      </c>
      <c r="C122" s="21" t="s">
        <v>326</v>
      </c>
      <c r="D122" s="31" t="s">
        <v>327</v>
      </c>
      <c r="E122" s="32" t="s">
        <v>321</v>
      </c>
      <c r="F122" s="33">
        <v>5000000</v>
      </c>
      <c r="G122" s="34">
        <v>5166.57</v>
      </c>
      <c r="H122" s="34">
        <v>0.62</v>
      </c>
      <c r="I122" s="35">
        <v>6.9406121000000001</v>
      </c>
      <c r="J122" s="35"/>
      <c r="K122" s="36"/>
    </row>
    <row r="123" spans="2:11" x14ac:dyDescent="0.35">
      <c r="B123" s="1" t="s">
        <v>328</v>
      </c>
      <c r="C123" s="21" t="s">
        <v>329</v>
      </c>
      <c r="D123" s="31" t="s">
        <v>330</v>
      </c>
      <c r="E123" s="32" t="s">
        <v>321</v>
      </c>
      <c r="F123" s="33">
        <v>2500000</v>
      </c>
      <c r="G123" s="34">
        <v>2589.8200000000002</v>
      </c>
      <c r="H123" s="34">
        <v>0.31</v>
      </c>
      <c r="I123" s="35">
        <v>6.3730647999999999</v>
      </c>
      <c r="J123" s="35"/>
      <c r="K123" s="36"/>
    </row>
    <row r="124" spans="2:11" x14ac:dyDescent="0.35">
      <c r="C124" s="30" t="s">
        <v>205</v>
      </c>
      <c r="D124" s="31"/>
      <c r="E124" s="32"/>
      <c r="F124" s="33"/>
      <c r="G124" s="38">
        <v>41916.28</v>
      </c>
      <c r="H124" s="38">
        <v>5</v>
      </c>
      <c r="I124" s="35"/>
      <c r="J124" s="35"/>
      <c r="K124" s="36"/>
    </row>
    <row r="125" spans="2:11" x14ac:dyDescent="0.35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2:11" x14ac:dyDescent="0.35">
      <c r="C126" s="37" t="s">
        <v>331</v>
      </c>
      <c r="D126" s="31"/>
      <c r="E126" s="32"/>
      <c r="F126" s="33"/>
      <c r="G126" s="34"/>
      <c r="H126" s="34"/>
      <c r="I126" s="35"/>
      <c r="J126" s="35"/>
      <c r="K126" s="36"/>
    </row>
    <row r="127" spans="2:11" x14ac:dyDescent="0.35">
      <c r="B127" s="1" t="s">
        <v>332</v>
      </c>
      <c r="C127" s="21" t="s">
        <v>333</v>
      </c>
      <c r="D127" s="31" t="s">
        <v>334</v>
      </c>
      <c r="E127" s="32" t="s">
        <v>321</v>
      </c>
      <c r="F127" s="33">
        <v>15000000</v>
      </c>
      <c r="G127" s="34">
        <v>15392.82</v>
      </c>
      <c r="H127" s="34">
        <v>1.83</v>
      </c>
      <c r="I127" s="35">
        <v>6.9727490000000003</v>
      </c>
      <c r="J127" s="35"/>
      <c r="K127" s="36"/>
    </row>
    <row r="128" spans="2:11" x14ac:dyDescent="0.35">
      <c r="C128" s="30" t="s">
        <v>205</v>
      </c>
      <c r="D128" s="31"/>
      <c r="E128" s="32"/>
      <c r="F128" s="33"/>
      <c r="G128" s="38">
        <v>15392.82</v>
      </c>
      <c r="H128" s="38">
        <v>1.83</v>
      </c>
      <c r="I128" s="35"/>
      <c r="J128" s="35"/>
      <c r="K128" s="36"/>
    </row>
    <row r="129" spans="1:11" x14ac:dyDescent="0.35">
      <c r="C129" s="21"/>
      <c r="D129" s="31"/>
      <c r="E129" s="32"/>
      <c r="F129" s="33"/>
      <c r="G129" s="34"/>
      <c r="H129" s="34"/>
      <c r="I129" s="35"/>
      <c r="J129" s="35"/>
      <c r="K129" s="36"/>
    </row>
    <row r="130" spans="1:11" x14ac:dyDescent="0.35">
      <c r="C130" s="30" t="s">
        <v>335</v>
      </c>
      <c r="D130" s="31"/>
      <c r="E130" s="32"/>
      <c r="F130" s="33"/>
      <c r="G130" s="34"/>
      <c r="H130" s="34"/>
      <c r="I130" s="35"/>
      <c r="J130" s="35"/>
      <c r="K130" s="36"/>
    </row>
    <row r="131" spans="1:11" x14ac:dyDescent="0.3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1:11" x14ac:dyDescent="0.35">
      <c r="C132" s="30" t="s">
        <v>336</v>
      </c>
      <c r="D132" s="31"/>
      <c r="E132" s="32"/>
      <c r="F132" s="33"/>
      <c r="G132" s="34" t="s">
        <v>207</v>
      </c>
      <c r="H132" s="34" t="s">
        <v>207</v>
      </c>
      <c r="I132" s="35"/>
      <c r="J132" s="35"/>
      <c r="K132" s="36"/>
    </row>
    <row r="133" spans="1:11" x14ac:dyDescent="0.35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11" x14ac:dyDescent="0.35">
      <c r="C134" s="30" t="s">
        <v>337</v>
      </c>
      <c r="D134" s="31"/>
      <c r="E134" s="32"/>
      <c r="F134" s="33"/>
      <c r="G134" s="34" t="s">
        <v>207</v>
      </c>
      <c r="H134" s="34" t="s">
        <v>207</v>
      </c>
      <c r="I134" s="35"/>
      <c r="J134" s="35"/>
      <c r="K134" s="36"/>
    </row>
    <row r="135" spans="1:11" x14ac:dyDescent="0.35">
      <c r="C135" s="21"/>
      <c r="D135" s="31"/>
      <c r="E135" s="32"/>
      <c r="F135" s="33"/>
      <c r="G135" s="34"/>
      <c r="H135" s="34"/>
      <c r="I135" s="35"/>
      <c r="J135" s="35"/>
      <c r="K135" s="36"/>
    </row>
    <row r="136" spans="1:11" x14ac:dyDescent="0.35">
      <c r="C136" s="30" t="s">
        <v>338</v>
      </c>
      <c r="D136" s="31"/>
      <c r="E136" s="32"/>
      <c r="F136" s="33"/>
      <c r="G136" s="34" t="s">
        <v>207</v>
      </c>
      <c r="H136" s="34" t="s">
        <v>207</v>
      </c>
      <c r="I136" s="35"/>
      <c r="J136" s="35"/>
      <c r="K136" s="36"/>
    </row>
    <row r="137" spans="1:11" x14ac:dyDescent="0.35">
      <c r="C137" s="21"/>
      <c r="D137" s="31"/>
      <c r="E137" s="32"/>
      <c r="F137" s="33"/>
      <c r="G137" s="34"/>
      <c r="H137" s="34"/>
      <c r="I137" s="35"/>
      <c r="J137" s="35"/>
      <c r="K137" s="36"/>
    </row>
    <row r="138" spans="1:11" x14ac:dyDescent="0.35">
      <c r="C138" s="30" t="s">
        <v>339</v>
      </c>
      <c r="D138" s="31"/>
      <c r="E138" s="32"/>
      <c r="F138" s="33"/>
      <c r="G138" s="34" t="s">
        <v>207</v>
      </c>
      <c r="H138" s="34" t="s">
        <v>207</v>
      </c>
      <c r="I138" s="35"/>
      <c r="J138" s="35"/>
      <c r="K138" s="36"/>
    </row>
    <row r="139" spans="1:11" x14ac:dyDescent="0.35">
      <c r="C139" s="21"/>
      <c r="D139" s="31"/>
      <c r="E139" s="32"/>
      <c r="F139" s="33"/>
      <c r="G139" s="34"/>
      <c r="H139" s="34"/>
      <c r="I139" s="35"/>
      <c r="J139" s="35"/>
      <c r="K139" s="36"/>
    </row>
    <row r="140" spans="1:11" x14ac:dyDescent="0.35">
      <c r="C140" s="30" t="s">
        <v>340</v>
      </c>
      <c r="D140" s="31"/>
      <c r="E140" s="32"/>
      <c r="F140" s="33"/>
      <c r="G140" s="34" t="s">
        <v>207</v>
      </c>
      <c r="H140" s="34" t="s">
        <v>207</v>
      </c>
      <c r="I140" s="35"/>
      <c r="J140" s="35"/>
      <c r="K140" s="36"/>
    </row>
    <row r="141" spans="1:11" x14ac:dyDescent="0.35">
      <c r="C141" s="21"/>
      <c r="D141" s="31"/>
      <c r="E141" s="32"/>
      <c r="F141" s="33"/>
      <c r="G141" s="34"/>
      <c r="H141" s="34"/>
      <c r="I141" s="35"/>
      <c r="J141" s="35"/>
      <c r="K141" s="36"/>
    </row>
    <row r="142" spans="1:11" x14ac:dyDescent="0.35">
      <c r="A142" s="28"/>
      <c r="B142" s="29"/>
      <c r="C142" s="30" t="s">
        <v>341</v>
      </c>
      <c r="D142" s="31"/>
      <c r="E142" s="32"/>
      <c r="F142" s="33"/>
      <c r="G142" s="34"/>
      <c r="H142" s="34"/>
      <c r="I142" s="35"/>
      <c r="J142" s="35"/>
      <c r="K142" s="36"/>
    </row>
    <row r="143" spans="1:11" x14ac:dyDescent="0.35">
      <c r="C143" s="37" t="s">
        <v>342</v>
      </c>
      <c r="D143" s="31"/>
      <c r="E143" s="32"/>
      <c r="F143" s="33"/>
      <c r="G143" s="34"/>
      <c r="H143" s="34"/>
      <c r="I143" s="35"/>
      <c r="J143" s="35"/>
      <c r="K143" s="36"/>
    </row>
    <row r="144" spans="1:11" x14ac:dyDescent="0.35">
      <c r="B144" s="1" t="s">
        <v>343</v>
      </c>
      <c r="C144" s="21" t="s">
        <v>344</v>
      </c>
      <c r="D144" s="31" t="s">
        <v>345</v>
      </c>
      <c r="E144" s="32" t="s">
        <v>89</v>
      </c>
      <c r="F144" s="33">
        <v>41296178</v>
      </c>
      <c r="G144" s="34">
        <v>39978.83</v>
      </c>
      <c r="H144" s="34">
        <v>4.76</v>
      </c>
      <c r="I144" s="35"/>
      <c r="J144" s="35"/>
      <c r="K144" s="36"/>
    </row>
    <row r="145" spans="2:11" x14ac:dyDescent="0.35">
      <c r="B145" s="1" t="s">
        <v>346</v>
      </c>
      <c r="C145" s="21" t="s">
        <v>347</v>
      </c>
      <c r="D145" s="31" t="s">
        <v>348</v>
      </c>
      <c r="E145" s="32" t="s">
        <v>89</v>
      </c>
      <c r="F145" s="33">
        <v>37241000</v>
      </c>
      <c r="G145" s="34">
        <v>30545.07</v>
      </c>
      <c r="H145" s="34">
        <v>3.64</v>
      </c>
      <c r="I145" s="35"/>
      <c r="J145" s="35"/>
      <c r="K145" s="36"/>
    </row>
    <row r="146" spans="2:11" x14ac:dyDescent="0.35">
      <c r="B146" s="1" t="s">
        <v>349</v>
      </c>
      <c r="C146" s="21" t="s">
        <v>350</v>
      </c>
      <c r="D146" s="31" t="s">
        <v>351</v>
      </c>
      <c r="E146" s="32" t="s">
        <v>89</v>
      </c>
      <c r="F146" s="33">
        <v>26730000</v>
      </c>
      <c r="G146" s="34">
        <v>25219.759999999998</v>
      </c>
      <c r="H146" s="34">
        <v>3</v>
      </c>
      <c r="I146" s="35"/>
      <c r="J146" s="35"/>
      <c r="K146" s="36"/>
    </row>
    <row r="147" spans="2:11" x14ac:dyDescent="0.35">
      <c r="C147" s="30" t="s">
        <v>205</v>
      </c>
      <c r="D147" s="31"/>
      <c r="E147" s="32"/>
      <c r="F147" s="33"/>
      <c r="G147" s="38">
        <v>95743.66</v>
      </c>
      <c r="H147" s="38">
        <v>11.4</v>
      </c>
      <c r="I147" s="35"/>
      <c r="J147" s="35"/>
      <c r="K147" s="36"/>
    </row>
    <row r="148" spans="2:11" x14ac:dyDescent="0.35">
      <c r="C148" s="21"/>
      <c r="D148" s="31"/>
      <c r="E148" s="32"/>
      <c r="F148" s="33"/>
      <c r="G148" s="34"/>
      <c r="H148" s="34"/>
      <c r="I148" s="35"/>
      <c r="J148" s="35"/>
      <c r="K148" s="36"/>
    </row>
    <row r="149" spans="2:11" x14ac:dyDescent="0.35">
      <c r="C149" s="30" t="s">
        <v>352</v>
      </c>
      <c r="D149" s="31"/>
      <c r="E149" s="32"/>
      <c r="F149" s="33"/>
      <c r="G149" s="34" t="s">
        <v>207</v>
      </c>
      <c r="H149" s="34" t="s">
        <v>207</v>
      </c>
      <c r="I149" s="35"/>
      <c r="J149" s="35"/>
      <c r="K149" s="36"/>
    </row>
    <row r="150" spans="2:11" x14ac:dyDescent="0.35">
      <c r="C150" s="21"/>
      <c r="D150" s="31"/>
      <c r="E150" s="32"/>
      <c r="F150" s="33"/>
      <c r="G150" s="34"/>
      <c r="H150" s="34"/>
      <c r="I150" s="35"/>
      <c r="J150" s="35"/>
      <c r="K150" s="36"/>
    </row>
    <row r="151" spans="2:11" x14ac:dyDescent="0.35">
      <c r="C151" s="30" t="s">
        <v>353</v>
      </c>
      <c r="D151" s="31"/>
      <c r="E151" s="32"/>
      <c r="F151" s="33"/>
      <c r="G151" s="34" t="s">
        <v>207</v>
      </c>
      <c r="H151" s="34" t="s">
        <v>207</v>
      </c>
      <c r="I151" s="35"/>
      <c r="J151" s="35"/>
      <c r="K151" s="36"/>
    </row>
    <row r="152" spans="2:11" x14ac:dyDescent="0.35">
      <c r="C152" s="21"/>
      <c r="D152" s="31"/>
      <c r="E152" s="32"/>
      <c r="F152" s="33"/>
      <c r="G152" s="34"/>
      <c r="H152" s="34"/>
      <c r="I152" s="35"/>
      <c r="J152" s="35"/>
      <c r="K152" s="36"/>
    </row>
    <row r="153" spans="2:11" x14ac:dyDescent="0.35">
      <c r="C153" s="30" t="s">
        <v>354</v>
      </c>
      <c r="D153" s="31"/>
      <c r="E153" s="32"/>
      <c r="F153" s="33"/>
      <c r="G153" s="34" t="s">
        <v>207</v>
      </c>
      <c r="H153" s="34" t="s">
        <v>207</v>
      </c>
      <c r="I153" s="35"/>
      <c r="J153" s="35"/>
      <c r="K153" s="36"/>
    </row>
    <row r="154" spans="2:11" x14ac:dyDescent="0.35">
      <c r="C154" s="21"/>
      <c r="D154" s="31"/>
      <c r="E154" s="32"/>
      <c r="F154" s="33"/>
      <c r="G154" s="34"/>
      <c r="H154" s="34"/>
      <c r="I154" s="35"/>
      <c r="J154" s="35"/>
      <c r="K154" s="36"/>
    </row>
    <row r="155" spans="2:11" x14ac:dyDescent="0.35">
      <c r="C155" s="30" t="s">
        <v>355</v>
      </c>
      <c r="D155" s="31"/>
      <c r="E155" s="32"/>
      <c r="F155" s="33"/>
      <c r="G155" s="34" t="s">
        <v>207</v>
      </c>
      <c r="H155" s="34" t="s">
        <v>207</v>
      </c>
      <c r="I155" s="35"/>
      <c r="J155" s="35"/>
      <c r="K155" s="36"/>
    </row>
    <row r="156" spans="2:11" x14ac:dyDescent="0.35">
      <c r="C156" s="21"/>
      <c r="D156" s="31"/>
      <c r="E156" s="32"/>
      <c r="F156" s="33"/>
      <c r="G156" s="34"/>
      <c r="H156" s="34"/>
      <c r="I156" s="35"/>
      <c r="J156" s="35"/>
      <c r="K156" s="36"/>
    </row>
    <row r="157" spans="2:11" x14ac:dyDescent="0.35">
      <c r="C157" s="37" t="s">
        <v>356</v>
      </c>
      <c r="D157" s="31"/>
      <c r="E157" s="32"/>
      <c r="F157" s="33"/>
      <c r="G157" s="34"/>
      <c r="H157" s="34"/>
      <c r="I157" s="35"/>
      <c r="J157" s="35"/>
      <c r="K157" s="36"/>
    </row>
    <row r="158" spans="2:11" x14ac:dyDescent="0.35">
      <c r="B158" s="1" t="s">
        <v>357</v>
      </c>
      <c r="C158" s="21" t="s">
        <v>358</v>
      </c>
      <c r="D158" s="31"/>
      <c r="E158" s="32"/>
      <c r="F158" s="33"/>
      <c r="G158" s="34">
        <v>15713.99</v>
      </c>
      <c r="H158" s="34">
        <v>1.87</v>
      </c>
      <c r="I158" s="35"/>
      <c r="J158" s="35"/>
      <c r="K158" s="36"/>
    </row>
    <row r="159" spans="2:11" x14ac:dyDescent="0.35">
      <c r="C159" s="30" t="s">
        <v>205</v>
      </c>
      <c r="D159" s="31"/>
      <c r="E159" s="32"/>
      <c r="F159" s="33"/>
      <c r="G159" s="38">
        <v>15713.99</v>
      </c>
      <c r="H159" s="38">
        <v>1.87</v>
      </c>
      <c r="I159" s="35"/>
      <c r="J159" s="35"/>
      <c r="K159" s="36"/>
    </row>
    <row r="160" spans="2:11" x14ac:dyDescent="0.35">
      <c r="C160" s="21"/>
      <c r="D160" s="31"/>
      <c r="E160" s="32"/>
      <c r="F160" s="33"/>
      <c r="G160" s="34"/>
      <c r="H160" s="34"/>
      <c r="I160" s="35"/>
      <c r="J160" s="35"/>
      <c r="K160" s="36"/>
    </row>
    <row r="161" spans="1:54" x14ac:dyDescent="0.35">
      <c r="A161" s="28"/>
      <c r="B161" s="29"/>
      <c r="C161" s="30" t="s">
        <v>359</v>
      </c>
      <c r="D161" s="31"/>
      <c r="E161" s="32"/>
      <c r="F161" s="33"/>
      <c r="G161" s="34"/>
      <c r="H161" s="34"/>
      <c r="I161" s="35"/>
      <c r="J161" s="35"/>
      <c r="K161" s="36"/>
    </row>
    <row r="162" spans="1:54" s="2" customFormat="1" ht="13.5" x14ac:dyDescent="0.35">
      <c r="A162" s="29"/>
      <c r="B162" s="29"/>
      <c r="C162" s="21" t="s">
        <v>360</v>
      </c>
      <c r="D162" s="31"/>
      <c r="E162" s="32"/>
      <c r="F162" s="33"/>
      <c r="G162" s="34" t="s">
        <v>207</v>
      </c>
      <c r="H162" s="34" t="s">
        <v>207</v>
      </c>
      <c r="I162" s="35"/>
      <c r="J162" s="35"/>
      <c r="K162" s="36"/>
      <c r="L162" s="10"/>
      <c r="AI162" s="10"/>
      <c r="AV162" s="10"/>
      <c r="AX162" s="10"/>
      <c r="BB162" s="10"/>
    </row>
    <row r="163" spans="1:54" x14ac:dyDescent="0.35">
      <c r="B163" s="1"/>
      <c r="C163" s="21" t="s">
        <v>361</v>
      </c>
      <c r="D163" s="31"/>
      <c r="E163" s="32"/>
      <c r="F163" s="33"/>
      <c r="G163" s="34">
        <v>9727.83</v>
      </c>
      <c r="H163" s="34">
        <v>1.1199999999999999</v>
      </c>
      <c r="I163" s="35"/>
      <c r="J163" s="35"/>
      <c r="K163" s="36"/>
    </row>
    <row r="164" spans="1:54" x14ac:dyDescent="0.35">
      <c r="C164" s="30" t="s">
        <v>205</v>
      </c>
      <c r="D164" s="31"/>
      <c r="E164" s="32"/>
      <c r="F164" s="33"/>
      <c r="G164" s="38">
        <v>9727.83</v>
      </c>
      <c r="H164" s="38">
        <v>1.1199999999999999</v>
      </c>
      <c r="I164" s="35"/>
      <c r="J164" s="35"/>
      <c r="K164" s="36"/>
    </row>
    <row r="165" spans="1:54" x14ac:dyDescent="0.35">
      <c r="C165" s="21"/>
      <c r="D165" s="31"/>
      <c r="E165" s="32"/>
      <c r="F165" s="33"/>
      <c r="G165" s="34"/>
      <c r="H165" s="34"/>
      <c r="I165" s="35"/>
      <c r="J165" s="35"/>
      <c r="K165" s="36"/>
    </row>
    <row r="166" spans="1:54" ht="15" thickBot="1" x14ac:dyDescent="0.4">
      <c r="C166" s="39" t="s">
        <v>362</v>
      </c>
      <c r="D166" s="40"/>
      <c r="E166" s="41"/>
      <c r="F166" s="42"/>
      <c r="G166" s="43">
        <v>839503.35999999999</v>
      </c>
      <c r="H166" s="43">
        <v>100.00000000000001</v>
      </c>
      <c r="I166" s="44"/>
      <c r="J166" s="44"/>
      <c r="K166" s="45"/>
    </row>
    <row r="169" spans="1:54" x14ac:dyDescent="0.35">
      <c r="C169" s="11" t="s">
        <v>363</v>
      </c>
    </row>
    <row r="170" spans="1:54" x14ac:dyDescent="0.35">
      <c r="C170" s="46" t="s">
        <v>364</v>
      </c>
      <c r="D170" s="46"/>
      <c r="E170" s="46"/>
      <c r="F170" s="46"/>
      <c r="G170" s="46"/>
      <c r="H170" s="46"/>
      <c r="I170" s="46"/>
      <c r="J170" s="46"/>
      <c r="K170" s="46"/>
    </row>
    <row r="171" spans="1:54" x14ac:dyDescent="0.35">
      <c r="C171" s="2" t="s">
        <v>365</v>
      </c>
    </row>
    <row r="172" spans="1:54" x14ac:dyDescent="0.35">
      <c r="C172" s="2" t="s">
        <v>366</v>
      </c>
    </row>
    <row r="173" spans="1:54" ht="30" customHeight="1" x14ac:dyDescent="0.35">
      <c r="C173" s="47" t="s">
        <v>367</v>
      </c>
      <c r="D173" s="48"/>
      <c r="E173" s="48"/>
      <c r="F173" s="48"/>
      <c r="G173" s="48"/>
      <c r="H173" s="48"/>
      <c r="I173" s="48"/>
      <c r="J173" s="48"/>
      <c r="K173" s="48"/>
    </row>
    <row r="174" spans="1:54" x14ac:dyDescent="0.35">
      <c r="C174" s="2" t="s">
        <v>368</v>
      </c>
    </row>
    <row r="176" spans="1:54" x14ac:dyDescent="0.35">
      <c r="C176" s="11" t="s">
        <v>369</v>
      </c>
      <c r="E176" s="49" t="s">
        <v>370</v>
      </c>
    </row>
    <row r="177" spans="5:5" x14ac:dyDescent="0.35">
      <c r="E177" s="2" t="s">
        <v>371</v>
      </c>
    </row>
  </sheetData>
  <mergeCells count="1">
    <mergeCell ref="C173:K173"/>
  </mergeCells>
  <hyperlinks>
    <hyperlink ref="J2" location="'Index'!A1" display="'Index'!A1" xr:uid="{299684EC-7103-41A9-84C1-8E5FF4221C9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97</vt:i4>
      </vt:variant>
    </vt:vector>
  </HeadingPairs>
  <TitlesOfParts>
    <vt:vector size="98" baseType="lpstr">
      <vt:lpstr>SMAAF</vt:lpstr>
      <vt:lpstr>SMAAF!Print_Area</vt:lpstr>
      <vt:lpstr>XDO_?CLASS_3?35?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XDO_?NAMCNAME?35?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XDO_?NPTF?35?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XDO_?TITL?35?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XDO_GROUP_?G_2?35?</vt:lpstr>
      <vt:lpstr>XDO_GROUP_?G_3?35?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2025-06-06T16:07:09Z</dcterms:created>
  <dcterms:modified xsi:type="dcterms:W3CDTF">2025-06-06T16:07:09Z</dcterms:modified>
</cp:coreProperties>
</file>