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July\0807\June 2025\"/>
    </mc:Choice>
  </mc:AlternateContent>
  <xr:revisionPtr revIDLastSave="0" documentId="8_{72BD1987-9563-448B-944D-E189F4B027D1}" xr6:coauthVersionLast="47" xr6:coauthVersionMax="47" xr10:uidLastSave="{00000000-0000-0000-0000-000000000000}"/>
  <bookViews>
    <workbookView xWindow="-110" yWindow="-110" windowWidth="19420" windowHeight="10300" xr2:uid="{39E4C4CF-E925-46C0-AC89-3A16446B8D81}"/>
  </bookViews>
  <sheets>
    <sheet name="SMAAF" sheetId="1" r:id="rId1"/>
  </sheets>
  <externalReferences>
    <externalReference r:id="rId2"/>
  </externalReferences>
  <definedNames>
    <definedName name="_xlnm.Print_Area" localSheetId="0">SMAAF!$A$1:$C$186</definedName>
    <definedName name="XDO_?CLASS_3?1?">#REF!</definedName>
    <definedName name="XDO_?CLASS_3?10?">#REF!</definedName>
    <definedName name="XDO_?CLASS_3?1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2?">#REF!</definedName>
    <definedName name="XDO_?CLASS_3?3?">#REF!</definedName>
    <definedName name="XDO_?CLASS_3?35?">SMAAF!$C$8:$C$64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70?">SMAAF!$D$10:$D$64</definedName>
    <definedName name="XDO_?FINAL_ISIN?171?">SMAAF!$D$10:$D$72</definedName>
    <definedName name="XDO_?FINAL_ISIN?172?">SMAAF!$D$10:$D$77</definedName>
    <definedName name="XDO_?FINAL_ISIN?173?">SMAAF!$D$10:$D$113</definedName>
    <definedName name="XDO_?FINAL_ISIN?174?">SMAAF!$D$10:$D$123</definedName>
    <definedName name="XDO_?FINAL_ISIN?175?">SMAAF!$D$10:$D$127</definedName>
    <definedName name="XDO_?FINAL_ISIN?176?">SMAAF!$D$10:$D$134</definedName>
    <definedName name="XDO_?FINAL_ISIN?177?">SMAAF!$D$10:$D$147</definedName>
    <definedName name="XDO_?FINAL_ISIN?178?">SMAAF!$D$10:$D$159</definedName>
    <definedName name="XDO_?FINAL_ISIN?179?">SMAAF!$D$10:$D$164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0?">#REF!</definedName>
    <definedName name="XDO_?FINAL_ISIN?51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7?">#REF!</definedName>
    <definedName name="XDO_?FINAL_ISIN?8?">#REF!</definedName>
    <definedName name="XDO_?FINAL_MV?1?">#REF!</definedName>
    <definedName name="XDO_?FINAL_MV?124?">[1]SFEF!$G$10:$G$34</definedName>
    <definedName name="XDO_?FINAL_MV?170?">SMAAF!$G$10:$G$64</definedName>
    <definedName name="XDO_?FINAL_MV?171?">SMAAF!$G$10:$G$72</definedName>
    <definedName name="XDO_?FINAL_MV?172?">SMAAF!$G$10:$G$77</definedName>
    <definedName name="XDO_?FINAL_MV?173?">SMAAF!$G$10:$G$113</definedName>
    <definedName name="XDO_?FINAL_MV?174?">SMAAF!$G$10:$G$123</definedName>
    <definedName name="XDO_?FINAL_MV?175?">SMAAF!$G$10:$G$127</definedName>
    <definedName name="XDO_?FINAL_MV?176?">SMAAF!$G$10:$G$134</definedName>
    <definedName name="XDO_?FINAL_MV?177?">SMAAF!$G$10:$G$147</definedName>
    <definedName name="XDO_?FINAL_MV?178?">SMAAF!$G$10:$G$159</definedName>
    <definedName name="XDO_?FINAL_MV?179?">SMAAF!$G$10:$G$164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[1]SEHF!$G$10:$G$48</definedName>
    <definedName name="XDO_?FINAL_MV?3?">#REF!</definedName>
    <definedName name="XDO_?FINAL_MV?390?">[1]SBAF!$G$10:$G$88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0?">#REF!</definedName>
    <definedName name="XDO_?FINAL_MV?51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7?">#REF!</definedName>
    <definedName name="XDO_?FINAL_MV?8?">#REF!</definedName>
    <definedName name="XDO_?FINAL_NAME?1?">#REF!</definedName>
    <definedName name="XDO_?FINAL_NAME?170?">SMAAF!$C$10:$C$64</definedName>
    <definedName name="XDO_?FINAL_NAME?171?">SMAAF!$C$10:$C$72</definedName>
    <definedName name="XDO_?FINAL_NAME?172?">SMAAF!$C$10:$C$77</definedName>
    <definedName name="XDO_?FINAL_NAME?173?">SMAAF!$C$10:$C$113</definedName>
    <definedName name="XDO_?FINAL_NAME?174?">SMAAF!$C$10:$C$123</definedName>
    <definedName name="XDO_?FINAL_NAME?175?">SMAAF!$C$10:$C$127</definedName>
    <definedName name="XDO_?FINAL_NAME?176?">SMAAF!$C$10:$C$134</definedName>
    <definedName name="XDO_?FINAL_NAME?177?">SMAAF!$C$10:$C$147</definedName>
    <definedName name="XDO_?FINAL_NAME?178?">SMAAF!$C$10:$C$159</definedName>
    <definedName name="XDO_?FINAL_NAME?179?">SMAAF!$C$10:$C$164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0?">#REF!</definedName>
    <definedName name="XDO_?FINAL_NAME?51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7?">#REF!</definedName>
    <definedName name="XDO_?FINAL_NAME?8?">#REF!</definedName>
    <definedName name="XDO_?FINAL_PER_NET?1?">#REF!</definedName>
    <definedName name="XDO_?FINAL_PER_NET?124?">[1]SFEF!$H$10:$H$34</definedName>
    <definedName name="XDO_?FINAL_PER_NET?170?">SMAAF!$H$10:$H$64</definedName>
    <definedName name="XDO_?FINAL_PER_NET?171?">SMAAF!$H$10:$H$72</definedName>
    <definedName name="XDO_?FINAL_PER_NET?172?">SMAAF!$H$10:$H$77</definedName>
    <definedName name="XDO_?FINAL_PER_NET?173?">SMAAF!$H$10:$H$113</definedName>
    <definedName name="XDO_?FINAL_PER_NET?174?">SMAAF!$H$10:$H$123</definedName>
    <definedName name="XDO_?FINAL_PER_NET?175?">SMAAF!$H$10:$H$127</definedName>
    <definedName name="XDO_?FINAL_PER_NET?176?">SMAAF!$H$10:$H$134</definedName>
    <definedName name="XDO_?FINAL_PER_NET?177?">SMAAF!$H$10:$H$147</definedName>
    <definedName name="XDO_?FINAL_PER_NET?178?">SMAAF!$H$10:$H$159</definedName>
    <definedName name="XDO_?FINAL_PER_NET?179?">SMAAF!$H$10:$H$164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[1]SEHF!$H$10:$H$48</definedName>
    <definedName name="XDO_?FINAL_PER_NET?3?">#REF!</definedName>
    <definedName name="XDO_?FINAL_PER_NET?390?">[1]SBAF!$H$10:$H$88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0?">#REF!</definedName>
    <definedName name="XDO_?FINAL_PER_NET?51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7?">#REF!</definedName>
    <definedName name="XDO_?FINAL_PER_NET?8?">#REF!</definedName>
    <definedName name="XDO_?FINAL_QUANTITE?1?">#REF!</definedName>
    <definedName name="XDO_?FINAL_QUANTITE?170?">SMAAF!$F$10:$F$64</definedName>
    <definedName name="XDO_?FINAL_QUANTITE?171?">SMAAF!$F$10:$F$72</definedName>
    <definedName name="XDO_?FINAL_QUANTITE?172?">SMAAF!$F$10:$F$77</definedName>
    <definedName name="XDO_?FINAL_QUANTITE?173?">SMAAF!$F$10:$F$113</definedName>
    <definedName name="XDO_?FINAL_QUANTITE?174?">SMAAF!$F$10:$F$123</definedName>
    <definedName name="XDO_?FINAL_QUANTITE?175?">SMAAF!$F$10:$F$127</definedName>
    <definedName name="XDO_?FINAL_QUANTITE?176?">SMAAF!$F$10:$F$134</definedName>
    <definedName name="XDO_?FINAL_QUANTITE?177?">SMAAF!$F$10:$F$147</definedName>
    <definedName name="XDO_?FINAL_QUANTITE?178?">SMAAF!$F$10:$F$159</definedName>
    <definedName name="XDO_?FINAL_QUANTITE?179?">SMAAF!$F$10:$F$164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0?">#REF!</definedName>
    <definedName name="XDO_?FINAL_QUANTITE?51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68'!#REF!</definedName>
    <definedName name="XDO_?NAMC?101?">[1]SNM150IF!#REF!</definedName>
    <definedName name="XDO_?NAMC?102?">[1]SNS250IF!#REF!</definedName>
    <definedName name="XDO_?NAMC?103?">'[1]SCIGI-JUN 2036'!#REF!</definedName>
    <definedName name="XDO_?NAMC?104?">'[1]SCIGI-APR 2029'!#REF!</definedName>
    <definedName name="XDO_?NAMC?105?">'[1]SCISI-SEP 2027'!#REF!</definedName>
    <definedName name="XDO_?NAMC?106?">'[1]SFMP- Series 72'!#REF!</definedName>
    <definedName name="XDO_?NAMC?107?">'[1]SFMP- Series 73'!#REF!</definedName>
    <definedName name="XDO_?NAMC?108?">[1]SLDF!#REF!</definedName>
    <definedName name="XDO_?NAMC?109?">'[1]SFMP- Series 74'!#REF!</definedName>
    <definedName name="XDO_?NAMC?11?">[1]SEHF!#REF!</definedName>
    <definedName name="XDO_?NAMC?110?">'[1]SFMP- Series 76'!#REF!</definedName>
    <definedName name="XDO_?NAMC?111?">'[1]SFMP- Series 78'!#REF!</definedName>
    <definedName name="XDO_?NAMC?112?">[1]SDYF!#REF!</definedName>
    <definedName name="XDO_?NAMC?113?">'[1]SFMP- Series 79'!#REF!</definedName>
    <definedName name="XDO_?NAMC?114?">'[1]SFMP- Series 81'!#REF!</definedName>
    <definedName name="XDO_?NAMC?115?">'[1]SBI-BSE-SENSEX-IF'!#REF!</definedName>
    <definedName name="XDO_?NAMC?116?">[1]LIQUIDSBI!#REF!</definedName>
    <definedName name="XDO_?NAMC?117?">[1]SN50EWIF!#REF!</definedName>
    <definedName name="XDO_?NAMC?118?">[1]SEOF!#REF!</definedName>
    <definedName name="XDO_?NAMC?119?">'[1]SBI-AOF'!#REF!</definedName>
    <definedName name="XDO_?NAMC?12?">#REF!</definedName>
    <definedName name="XDO_?NAMC?120?">[1]SETFSILVER!#REF!</definedName>
    <definedName name="XDO_?NAMC?121?">'[1]SETFSILVER-FOF'!#REF!</definedName>
    <definedName name="XDO_?NAMC?122?">'[1]SN50EW-ETF'!#REF!</definedName>
    <definedName name="XDO_?NAMC?123?">[1]SIOF!#REF!</definedName>
    <definedName name="XDO_?NAMC?124?">[1]SN500IF!#REF!</definedName>
    <definedName name="XDO_?NAMC?125?">[1]SNICIF!#REF!</definedName>
    <definedName name="XDO_?NAMC?126?">[1]SQF!#REF!</definedName>
    <definedName name="XDO_?NAMC?127?">[1]SNBIF!#REF!</definedName>
    <definedName name="XDO_?NAMC?128?">[1]SNITIF!#REF!</definedName>
    <definedName name="XDO_?NAMC?129?">'[1]SBI BSE PSU Bank ETF'!#REF!</definedName>
    <definedName name="XDO_?NAMC?13?">[1]SMIF!#REF!</definedName>
    <definedName name="XDO_?NAMC?130?">'[1]SBI BSE PSU Bank Index Fund'!#REF!</definedName>
    <definedName name="XDO_?NAMC?131?">[1]SIPAAFOF!#REF!</definedName>
    <definedName name="XDO_?NAMC?132?">'[1]SBI Nifty200 Quality 30'!#REF!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'[1]SFMP- Series 48'!#REF!</definedName>
    <definedName name="XDO_?NAMC?82?">[1]SBAF!#REF!</definedName>
    <definedName name="XDO_?NAMC?83?">'[1]SFMP- Series 49'!#REF!</definedName>
    <definedName name="XDO_?NAMC?84?">'[1]SFMP- Series 50'!#REF!</definedName>
    <definedName name="XDO_?NAMC?85?">'[1]SFMP- Series 51'!#REF!</definedName>
    <definedName name="XDO_?NAMC?86?">'[1]SFMP- Series 52'!#REF!</definedName>
    <definedName name="XDO_?NAMC?87?">'[1]SFMP- Series 53'!#REF!</definedName>
    <definedName name="XDO_?NAMC?88?">'[1]SFMP- Series 54'!#REF!</definedName>
    <definedName name="XDO_?NAMC?89?">'[1]SFMP- Series 55'!#REF!</definedName>
    <definedName name="XDO_?NAMC?9?">[1]SMGLF!#REF!</definedName>
    <definedName name="XDO_?NAMC?90?">'[1]SFMP- Series 57'!#REF!</definedName>
    <definedName name="XDO_?NAMC?91?">'[1]SFMP- Series 58'!#REF!</definedName>
    <definedName name="XDO_?NAMC?92?">[1]SCPSE!#REF!</definedName>
    <definedName name="XDO_?NAMC?93?">'[1]SFMP- Series 59'!#REF!</definedName>
    <definedName name="XDO_?NAMC?94?">'[1]SFMP- Series 60'!#REF!</definedName>
    <definedName name="XDO_?NAMC?95?">[1]SMCF!#REF!</definedName>
    <definedName name="XDO_?NAMC?96?">'[1]SFMP- Series 61'!#REF!</definedName>
    <definedName name="XDO_?NAMC?97?">'[1]SFMP- Series 66'!#REF!</definedName>
    <definedName name="XDO_?NAMC?98?">'[1]SFMP- Series 67'!#REF!</definedName>
    <definedName name="XDO_?NAMC?99?">'[1]SFMP- Series 64'!#REF!</definedName>
    <definedName name="XDO_?NAMCNAME?1?">#REF!</definedName>
    <definedName name="XDO_?NAMCNAME?10?">#REF!</definedName>
    <definedName name="XDO_?NAMCNAME?1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2?">#REF!</definedName>
    <definedName name="XDO_?NAMCNAME?3?">#REF!</definedName>
    <definedName name="XDO_?NAMCNAME?35?">SMAAF!$C$2:$C$64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68'!#REF!</definedName>
    <definedName name="XDO_?NDATE?101?">[1]SNM150IF!#REF!</definedName>
    <definedName name="XDO_?NDATE?102?">[1]SNS250IF!#REF!</definedName>
    <definedName name="XDO_?NDATE?103?">'[1]SCIGI-JUN 2036'!#REF!</definedName>
    <definedName name="XDO_?NDATE?104?">'[1]SCIGI-APR 2029'!#REF!</definedName>
    <definedName name="XDO_?NDATE?105?">'[1]SCISI-SEP 2027'!#REF!</definedName>
    <definedName name="XDO_?NDATE?106?">'[1]SFMP- Series 72'!#REF!</definedName>
    <definedName name="XDO_?NDATE?107?">'[1]SFMP- Series 73'!#REF!</definedName>
    <definedName name="XDO_?NDATE?108?">[1]SLDF!#REF!</definedName>
    <definedName name="XDO_?NDATE?109?">'[1]SFMP- Series 74'!#REF!</definedName>
    <definedName name="XDO_?NDATE?11?">[1]SEHF!#REF!</definedName>
    <definedName name="XDO_?NDATE?110?">'[1]SFMP- Series 76'!#REF!</definedName>
    <definedName name="XDO_?NDATE?111?">'[1]SFMP- Series 78'!#REF!</definedName>
    <definedName name="XDO_?NDATE?112?">[1]SDYF!#REF!</definedName>
    <definedName name="XDO_?NDATE?113?">'[1]SFMP- Series 79'!#REF!</definedName>
    <definedName name="XDO_?NDATE?114?">'[1]SFMP- Series 81'!#REF!</definedName>
    <definedName name="XDO_?NDATE?115?">'[1]SBI-BSE-SENSEX-IF'!#REF!</definedName>
    <definedName name="XDO_?NDATE?116?">[1]LIQUIDSBI!#REF!</definedName>
    <definedName name="XDO_?NDATE?117?">[1]SN50EWIF!#REF!</definedName>
    <definedName name="XDO_?NDATE?118?">[1]SEOF!#REF!</definedName>
    <definedName name="XDO_?NDATE?119?">'[1]SBI-AOF'!#REF!</definedName>
    <definedName name="XDO_?NDATE?12?">#REF!</definedName>
    <definedName name="XDO_?NDATE?120?">[1]SETFSILVER!#REF!</definedName>
    <definedName name="XDO_?NDATE?121?">'[1]SETFSILVER-FOF'!#REF!</definedName>
    <definedName name="XDO_?NDATE?122?">'[1]SN50EW-ETF'!#REF!</definedName>
    <definedName name="XDO_?NDATE?123?">[1]SIOF!#REF!</definedName>
    <definedName name="XDO_?NDATE?124?">[1]SN500IF!#REF!</definedName>
    <definedName name="XDO_?NDATE?125?">[1]SNICIF!#REF!</definedName>
    <definedName name="XDO_?NDATE?126?">[1]SQF!#REF!</definedName>
    <definedName name="XDO_?NDATE?127?">[1]SNBIF!#REF!</definedName>
    <definedName name="XDO_?NDATE?128?">[1]SNITIF!#REF!</definedName>
    <definedName name="XDO_?NDATE?129?">'[1]SBI BSE PSU Bank ETF'!#REF!</definedName>
    <definedName name="XDO_?NDATE?13?">[1]SMIF!#REF!</definedName>
    <definedName name="XDO_?NDATE?130?">'[1]SBI BSE PSU Bank Index Fund'!#REF!</definedName>
    <definedName name="XDO_?NDATE?131?">[1]SIPAAFOF!#REF!</definedName>
    <definedName name="XDO_?NDATE?132?">'[1]SBI Nifty200 Quality 30'!#REF!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'[1]SFMP- Series 48'!#REF!</definedName>
    <definedName name="XDO_?NDATE?82?">[1]SBAF!#REF!</definedName>
    <definedName name="XDO_?NDATE?83?">'[1]SFMP- Series 49'!#REF!</definedName>
    <definedName name="XDO_?NDATE?84?">'[1]SFMP- Series 50'!#REF!</definedName>
    <definedName name="XDO_?NDATE?85?">'[1]SFMP- Series 51'!#REF!</definedName>
    <definedName name="XDO_?NDATE?86?">'[1]SFMP- Series 52'!#REF!</definedName>
    <definedName name="XDO_?NDATE?87?">'[1]SFMP- Series 53'!#REF!</definedName>
    <definedName name="XDO_?NDATE?88?">'[1]SFMP- Series 54'!#REF!</definedName>
    <definedName name="XDO_?NDATE?89?">'[1]SFMP- Series 55'!#REF!</definedName>
    <definedName name="XDO_?NDATE?9?">[1]SMGLF!#REF!</definedName>
    <definedName name="XDO_?NDATE?90?">'[1]SFMP- Series 57'!#REF!</definedName>
    <definedName name="XDO_?NDATE?91?">'[1]SFMP- Series 58'!#REF!</definedName>
    <definedName name="XDO_?NDATE?92?">[1]SCPSE!#REF!</definedName>
    <definedName name="XDO_?NDATE?93?">'[1]SFMP- Series 59'!#REF!</definedName>
    <definedName name="XDO_?NDATE?94?">'[1]SFMP- Series 60'!#REF!</definedName>
    <definedName name="XDO_?NDATE?95?">[1]SMCF!#REF!</definedName>
    <definedName name="XDO_?NDATE?96?">'[1]SFMP- Series 61'!#REF!</definedName>
    <definedName name="XDO_?NDATE?97?">'[1]SFMP- Series 66'!#REF!</definedName>
    <definedName name="XDO_?NDATE?98?">'[1]SFMP- Series 67'!#REF!</definedName>
    <definedName name="XDO_?NDATE?99?">'[1]SFMP- Series 64'!#REF!</definedName>
    <definedName name="XDO_?NNPTF?">[1]SMEEF!#REF!</definedName>
    <definedName name="XDO_?NNPTF?1?">#REF!</definedName>
    <definedName name="XDO_?NNPTF?10?">#REF!</definedName>
    <definedName name="XDO_?NNPTF?100?">'[1]SFMP- Series 68'!#REF!</definedName>
    <definedName name="XDO_?NNPTF?101?">[1]SNM150IF!#REF!</definedName>
    <definedName name="XDO_?NNPTF?102?">[1]SNS250IF!#REF!</definedName>
    <definedName name="XDO_?NNPTF?103?">'[1]SCIGI-JUN 2036'!#REF!</definedName>
    <definedName name="XDO_?NNPTF?104?">'[1]SCIGI-APR 2029'!#REF!</definedName>
    <definedName name="XDO_?NNPTF?105?">'[1]SCISI-SEP 2027'!#REF!</definedName>
    <definedName name="XDO_?NNPTF?106?">'[1]SFMP- Series 72'!#REF!</definedName>
    <definedName name="XDO_?NNPTF?107?">'[1]SFMP- Series 73'!#REF!</definedName>
    <definedName name="XDO_?NNPTF?108?">[1]SLDF!#REF!</definedName>
    <definedName name="XDO_?NNPTF?109?">'[1]SFMP- Series 74'!#REF!</definedName>
    <definedName name="XDO_?NNPTF?11?">[1]SEHF!#REF!</definedName>
    <definedName name="XDO_?NNPTF?110?">'[1]SFMP- Series 76'!#REF!</definedName>
    <definedName name="XDO_?NNPTF?111?">'[1]SFMP- Series 78'!#REF!</definedName>
    <definedName name="XDO_?NNPTF?112?">[1]SDYF!#REF!</definedName>
    <definedName name="XDO_?NNPTF?113?">'[1]SFMP- Series 79'!#REF!</definedName>
    <definedName name="XDO_?NNPTF?114?">'[1]SFMP- Series 81'!#REF!</definedName>
    <definedName name="XDO_?NNPTF?115?">'[1]SBI-BSE-SENSEX-IF'!#REF!</definedName>
    <definedName name="XDO_?NNPTF?116?">[1]LIQUIDSBI!#REF!</definedName>
    <definedName name="XDO_?NNPTF?117?">[1]SN50EWIF!#REF!</definedName>
    <definedName name="XDO_?NNPTF?118?">[1]SEOF!#REF!</definedName>
    <definedName name="XDO_?NNPTF?119?">'[1]SBI-AOF'!#REF!</definedName>
    <definedName name="XDO_?NNPTF?12?">#REF!</definedName>
    <definedName name="XDO_?NNPTF?120?">[1]SETFSILVER!#REF!</definedName>
    <definedName name="XDO_?NNPTF?121?">'[1]SETFSILVER-FOF'!#REF!</definedName>
    <definedName name="XDO_?NNPTF?122?">'[1]SN50EW-ETF'!#REF!</definedName>
    <definedName name="XDO_?NNPTF?123?">[1]SIOF!#REF!</definedName>
    <definedName name="XDO_?NNPTF?124?">[1]SN500IF!#REF!</definedName>
    <definedName name="XDO_?NNPTF?125?">[1]SNICIF!#REF!</definedName>
    <definedName name="XDO_?NNPTF?126?">[1]SQF!#REF!</definedName>
    <definedName name="XDO_?NNPTF?127?">[1]SNBIF!#REF!</definedName>
    <definedName name="XDO_?NNPTF?128?">[1]SNITIF!#REF!</definedName>
    <definedName name="XDO_?NNPTF?129?">'[1]SBI BSE PSU Bank ETF'!#REF!</definedName>
    <definedName name="XDO_?NNPTF?13?">[1]SMIF!#REF!</definedName>
    <definedName name="XDO_?NNPTF?130?">'[1]SBI BSE PSU Bank Index Fund'!#REF!</definedName>
    <definedName name="XDO_?NNPTF?131?">[1]SIPAAFOF!#REF!</definedName>
    <definedName name="XDO_?NNPTF?132?">'[1]SBI Nifty200 Quality 30'!#REF!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'[1]SFMP- Series 48'!#REF!</definedName>
    <definedName name="XDO_?NNPTF?82?">[1]SBAF!#REF!</definedName>
    <definedName name="XDO_?NNPTF?83?">'[1]SFMP- Series 49'!#REF!</definedName>
    <definedName name="XDO_?NNPTF?84?">'[1]SFMP- Series 50'!#REF!</definedName>
    <definedName name="XDO_?NNPTF?85?">'[1]SFMP- Series 51'!#REF!</definedName>
    <definedName name="XDO_?NNPTF?86?">'[1]SFMP- Series 52'!#REF!</definedName>
    <definedName name="XDO_?NNPTF?87?">'[1]SFMP- Series 53'!#REF!</definedName>
    <definedName name="XDO_?NNPTF?88?">'[1]SFMP- Series 54'!#REF!</definedName>
    <definedName name="XDO_?NNPTF?89?">'[1]SFMP- Series 55'!#REF!</definedName>
    <definedName name="XDO_?NNPTF?9?">[1]SMGLF!#REF!</definedName>
    <definedName name="XDO_?NNPTF?90?">'[1]SFMP- Series 57'!#REF!</definedName>
    <definedName name="XDO_?NNPTF?91?">'[1]SFMP- Series 58'!#REF!</definedName>
    <definedName name="XDO_?NNPTF?92?">[1]SCPSE!#REF!</definedName>
    <definedName name="XDO_?NNPTF?93?">'[1]SFMP- Series 59'!#REF!</definedName>
    <definedName name="XDO_?NNPTF?94?">'[1]SFMP- Series 60'!#REF!</definedName>
    <definedName name="XDO_?NNPTF?95?">[1]SMCF!#REF!</definedName>
    <definedName name="XDO_?NNPTF?96?">'[1]SFMP- Series 61'!#REF!</definedName>
    <definedName name="XDO_?NNPTF?97?">'[1]SFMP- Series 66'!#REF!</definedName>
    <definedName name="XDO_?NNPTF?98?">'[1]SFMP- Series 67'!#REF!</definedName>
    <definedName name="XDO_?NNPTF?99?">'[1]SFMP- Series 64'!#REF!</definedName>
    <definedName name="XDO_?NOVAL?1?">#REF!</definedName>
    <definedName name="XDO_?NOVAL?170?">SMAAF!$B$10:$B$64</definedName>
    <definedName name="XDO_?NOVAL?171?">SMAAF!$B$10:$B$72</definedName>
    <definedName name="XDO_?NOVAL?172?">SMAAF!$B$10:$B$77</definedName>
    <definedName name="XDO_?NOVAL?173?">SMAAF!$B$10:$B$113</definedName>
    <definedName name="XDO_?NOVAL?174?">SMAAF!$B$10:$B$123</definedName>
    <definedName name="XDO_?NOVAL?175?">SMAAF!$B$10:$B$127</definedName>
    <definedName name="XDO_?NOVAL?176?">SMAAF!$B$10:$B$134</definedName>
    <definedName name="XDO_?NOVAL?177?">SMAAF!$B$10:$B$147</definedName>
    <definedName name="XDO_?NOVAL?178?">SMAAF!$B$10:$B$159</definedName>
    <definedName name="XDO_?NOVAL?179?">SMAAF!$B$10:$B$164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0?">#REF!</definedName>
    <definedName name="XDO_?NOVAL?51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2?">#REF!</definedName>
    <definedName name="XDO_?NPTF?3?">#REF!</definedName>
    <definedName name="XDO_?NPTF?35?">SMAAF!$D$2:$D$64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70?">SMAAF!$E$10:$E$64</definedName>
    <definedName name="XDO_?RATING?171?">SMAAF!$E$10:$E$72</definedName>
    <definedName name="XDO_?RATING?172?">SMAAF!$E$10:$E$77</definedName>
    <definedName name="XDO_?RATING?173?">SMAAF!$E$10:$E$113</definedName>
    <definedName name="XDO_?RATING?174?">SMAAF!$E$10:$E$123</definedName>
    <definedName name="XDO_?RATING?175?">SMAAF!$E$10:$E$127</definedName>
    <definedName name="XDO_?RATING?176?">SMAAF!$E$10:$E$134</definedName>
    <definedName name="XDO_?RATING?177?">SMAAF!$E$10:$E$147</definedName>
    <definedName name="XDO_?RATING?178?">SMAAF!$E$10:$E$159</definedName>
    <definedName name="XDO_?RATING?179?">SMAAF!$E$10:$E$164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0?">#REF!</definedName>
    <definedName name="XDO_?RATING?51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7?">#REF!</definedName>
    <definedName name="XDO_?RATING?8?">#REF!</definedName>
    <definedName name="XDO_?REMARKS?1?">#REF!</definedName>
    <definedName name="XDO_?REMARKS?170?">SMAAF!$K$10:$K$64</definedName>
    <definedName name="XDO_?REMARKS?171?">SMAAF!$K$10:$K$72</definedName>
    <definedName name="XDO_?REMARKS?172?">SMAAF!$K$10:$K$77</definedName>
    <definedName name="XDO_?REMARKS?173?">SMAAF!$K$10:$K$113</definedName>
    <definedName name="XDO_?REMARKS?174?">SMAAF!$K$10:$K$123</definedName>
    <definedName name="XDO_?REMARKS?175?">SMAAF!$K$10:$K$127</definedName>
    <definedName name="XDO_?REMARKS?176?">SMAAF!$K$10:$K$134</definedName>
    <definedName name="XDO_?REMARKS?177?">SMAAF!$K$10:$K$147</definedName>
    <definedName name="XDO_?REMARKS?178?">SMAAF!$K$10:$K$159</definedName>
    <definedName name="XDO_?REMARKS?179?">SMAAF!$K$10:$K$164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0?">#REF!</definedName>
    <definedName name="XDO_?REMARKS?51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2?">#REF!</definedName>
    <definedName name="XDO_?TITL?3?">#REF!</definedName>
    <definedName name="XDO_?TITL?35?">SMAAF!$A$8:$A$64</definedName>
    <definedName name="XDO_?TITL?4?">#REF!</definedName>
    <definedName name="XDO_?TITL?7?">#REF!</definedName>
    <definedName name="XDO_?TITL?8?">#REF!</definedName>
    <definedName name="XDO_?YTM?1?">#REF!</definedName>
    <definedName name="XDO_?YTM?170?">SMAAF!$I$10:$I$64</definedName>
    <definedName name="XDO_?YTM?171?">SMAAF!$I$10:$I$72</definedName>
    <definedName name="XDO_?YTM?172?">SMAAF!$I$10:$I$77</definedName>
    <definedName name="XDO_?YTM?173?">SMAAF!$I$10:$I$113</definedName>
    <definedName name="XDO_?YTM?174?">SMAAF!$I$10:$I$123</definedName>
    <definedName name="XDO_?YTM?175?">SMAAF!$I$10:$I$127</definedName>
    <definedName name="XDO_?YTM?176?">SMAAF!$I$10:$I$134</definedName>
    <definedName name="XDO_?YTM?177?">SMAAF!$I$10:$I$147</definedName>
    <definedName name="XDO_?YTM?178?">SMAAF!$I$10:$I$159</definedName>
    <definedName name="XDO_?YTM?179?">SMAAF!$I$10:$I$164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0?">#REF!</definedName>
    <definedName name="XDO_?YTM?51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2?">#REF!</definedName>
    <definedName name="XDO_GROUP_?G_2?3?">#REF!</definedName>
    <definedName name="XDO_GROUP_?G_2?35?">SMAAF!$2:$167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2?">#REF!</definedName>
    <definedName name="XDO_GROUP_?G_3?3?">#REF!</definedName>
    <definedName name="XDO_GROUP_?G_3?35?">SMAAF!$8:$166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70?">SMAAF!$B$10:$IV$64</definedName>
    <definedName name="XDO_GROUP_?G_4?171?">SMAAF!$B$72:$IV$72</definedName>
    <definedName name="XDO_GROUP_?G_4?172?">SMAAF!$B$76:$IV$77</definedName>
    <definedName name="XDO_GROUP_?G_4?173?">SMAAF!$B$86:$IV$113</definedName>
    <definedName name="XDO_GROUP_?G_4?174?">SMAAF!$B$121:$IV$123</definedName>
    <definedName name="XDO_GROUP_?G_4?175?">SMAAF!$B$127:$IV$127</definedName>
    <definedName name="XDO_GROUP_?G_4?176?">SMAAF!$B$134:$IV$134</definedName>
    <definedName name="XDO_GROUP_?G_4?177?">SMAAF!$B$145:$IV$147</definedName>
    <definedName name="XDO_GROUP_?G_4?178?">SMAAF!$B$159:$IV$159</definedName>
    <definedName name="XDO_GROUP_?G_4?179?">SMAAF!$B$164:$IV$164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0?">#REF!</definedName>
    <definedName name="XDO_GROUP_?G_4?51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" l="1"/>
  <c r="G65" i="1"/>
</calcChain>
</file>

<file path=xl/sharedStrings.xml><?xml version="1.0" encoding="utf-8"?>
<sst xmlns="http://schemas.openxmlformats.org/spreadsheetml/2006/main" count="502" uniqueCount="378">
  <si>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</si>
  <si>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</si>
  <si>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</si>
  <si>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</si>
  <si>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</si>
  <si>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</si>
  <si>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</si>
  <si>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</si>
  <si>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</si>
  <si>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</si>
  <si>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</si>
  <si>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</si>
  <si>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</si>
  <si>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</si>
  <si>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</si>
  <si>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</si>
  <si>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</si>
  <si>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</si>
  <si>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</si>
  <si>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</si>
  <si>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</si>
  <si>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</si>
  <si>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</si>
  <si>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</si>
  <si>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</si>
  <si>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101207</t>
  </si>
  <si>
    <t>Restaurant Brands Asia Ltd.</t>
  </si>
  <si>
    <t>INE07T201019</t>
  </si>
  <si>
    <t>Leisure Services</t>
  </si>
  <si>
    <t>100019</t>
  </si>
  <si>
    <t>ITC Ltd.</t>
  </si>
  <si>
    <t>INE154A01025</t>
  </si>
  <si>
    <t>Diversified FMCG</t>
  </si>
  <si>
    <t>100771</t>
  </si>
  <si>
    <t>Bandhan Bank Ltd.</t>
  </si>
  <si>
    <t>INE545U01014</t>
  </si>
  <si>
    <t>100558</t>
  </si>
  <si>
    <t>Privi Speciality Chemicals Ltd.</t>
  </si>
  <si>
    <t>INE959A01019</t>
  </si>
  <si>
    <t>Chemicals &amp; Petrochemicals</t>
  </si>
  <si>
    <t>100037</t>
  </si>
  <si>
    <t>HCL Technologies Ltd.</t>
  </si>
  <si>
    <t>INE860A01027</t>
  </si>
  <si>
    <t>IT - Software</t>
  </si>
  <si>
    <t>102512</t>
  </si>
  <si>
    <t>Vishal Mega Mart Ltd.</t>
  </si>
  <si>
    <t>INE01EA01019</t>
  </si>
  <si>
    <t>Retailing</t>
  </si>
  <si>
    <t>100675</t>
  </si>
  <si>
    <t>VRL Logistics Ltd.</t>
  </si>
  <si>
    <t>INE366I01010</t>
  </si>
  <si>
    <t>Transport Services</t>
  </si>
  <si>
    <t>100380</t>
  </si>
  <si>
    <t>Bajaj Finserv Ltd.</t>
  </si>
  <si>
    <t>INE918I01026</t>
  </si>
  <si>
    <t>Finance</t>
  </si>
  <si>
    <t>100024</t>
  </si>
  <si>
    <t>Axis Bank Ltd.</t>
  </si>
  <si>
    <t>INE238A01034</t>
  </si>
  <si>
    <t>100112</t>
  </si>
  <si>
    <t>Punjab National Bank</t>
  </si>
  <si>
    <t>INE160A01022</t>
  </si>
  <si>
    <t>100169</t>
  </si>
  <si>
    <t>Indian Oil Corporation Ltd.</t>
  </si>
  <si>
    <t>INE242A01010</t>
  </si>
  <si>
    <t>100374</t>
  </si>
  <si>
    <t>CESC Ltd.</t>
  </si>
  <si>
    <t>INE486A01021</t>
  </si>
  <si>
    <t>Power</t>
  </si>
  <si>
    <t>100043</t>
  </si>
  <si>
    <t>ZF Commercial Vehicle Control Systems India Ltd.</t>
  </si>
  <si>
    <t>INE342J01019</t>
  </si>
  <si>
    <t>Auto Components</t>
  </si>
  <si>
    <t>100176</t>
  </si>
  <si>
    <t>GAIL (India) Ltd.</t>
  </si>
  <si>
    <t>INE129A01019</t>
  </si>
  <si>
    <t>Gas</t>
  </si>
  <si>
    <t>100011</t>
  </si>
  <si>
    <t>Wipro Ltd.</t>
  </si>
  <si>
    <t>INE075A01022</t>
  </si>
  <si>
    <t>101370</t>
  </si>
  <si>
    <t>Gokaldas Exports Ltd.</t>
  </si>
  <si>
    <t>INE887G01027</t>
  </si>
  <si>
    <t>Textiles &amp; Apparels</t>
  </si>
  <si>
    <t>100147</t>
  </si>
  <si>
    <t>Tech Mahindra Ltd.</t>
  </si>
  <si>
    <t>INE669C01036</t>
  </si>
  <si>
    <t>100010</t>
  </si>
  <si>
    <t>State Bank of India</t>
  </si>
  <si>
    <t>INE062A01020</t>
  </si>
  <si>
    <t>100292</t>
  </si>
  <si>
    <t>Steel Authority of India Ltd.</t>
  </si>
  <si>
    <t>INE114A01011</t>
  </si>
  <si>
    <t>Ferrous Metals</t>
  </si>
  <si>
    <t>100154</t>
  </si>
  <si>
    <t>Colgate Palmolive (India) Ltd.</t>
  </si>
  <si>
    <t>INE259A01022</t>
  </si>
  <si>
    <t>Personal Products</t>
  </si>
  <si>
    <t>100447</t>
  </si>
  <si>
    <t>LTIMindtree Ltd.</t>
  </si>
  <si>
    <t>INE214T01019</t>
  </si>
  <si>
    <t>100259</t>
  </si>
  <si>
    <t>Kalpataru Projects International Ltd.</t>
  </si>
  <si>
    <t>INE220B01022</t>
  </si>
  <si>
    <t>Construction</t>
  </si>
  <si>
    <t>101378</t>
  </si>
  <si>
    <t>FSN E-Commerce Ventures Ltd.</t>
  </si>
  <si>
    <t>INE388Y01029</t>
  </si>
  <si>
    <t>100370</t>
  </si>
  <si>
    <t>Biocon Ltd.</t>
  </si>
  <si>
    <t>INE376G01013</t>
  </si>
  <si>
    <t>Pharmaceuticals &amp; Biotechnology</t>
  </si>
  <si>
    <t>100421</t>
  </si>
  <si>
    <t>Dabur India Ltd.</t>
  </si>
  <si>
    <t>INE016A01026</t>
  </si>
  <si>
    <t>100694</t>
  </si>
  <si>
    <t>Indian Energy Exchange Ltd.</t>
  </si>
  <si>
    <t>INE022Q01020</t>
  </si>
  <si>
    <t>Capital Markets</t>
  </si>
  <si>
    <t>100505</t>
  </si>
  <si>
    <t>ICICI Prudential Life Insurance Company Ltd.</t>
  </si>
  <si>
    <t>INE726G01019</t>
  </si>
  <si>
    <t>Insurance</t>
  </si>
  <si>
    <t>100111</t>
  </si>
  <si>
    <t>Oil &amp; Natural Gas Corporation Ltd.</t>
  </si>
  <si>
    <t>INE213A01029</t>
  </si>
  <si>
    <t>Oil</t>
  </si>
  <si>
    <t>100003</t>
  </si>
  <si>
    <t>Infosys Ltd.</t>
  </si>
  <si>
    <t>INE009A01021</t>
  </si>
  <si>
    <t>100536</t>
  </si>
  <si>
    <t>VIP Industries Ltd.</t>
  </si>
  <si>
    <t>INE054A01027</t>
  </si>
  <si>
    <t>Consumer Durables</t>
  </si>
  <si>
    <t>100047</t>
  </si>
  <si>
    <t>Emami Ltd.</t>
  </si>
  <si>
    <t>INE548C01032</t>
  </si>
  <si>
    <t>100550</t>
  </si>
  <si>
    <t>Sagar Cements Ltd.</t>
  </si>
  <si>
    <t>INE229C01021</t>
  </si>
  <si>
    <t>Cement &amp; Cement Products</t>
  </si>
  <si>
    <t>102005</t>
  </si>
  <si>
    <t>Tata Technologies Ltd.</t>
  </si>
  <si>
    <t>INE142M01025</t>
  </si>
  <si>
    <t>IT - Services</t>
  </si>
  <si>
    <t>101550</t>
  </si>
  <si>
    <t>Life Insurance Corporation of India</t>
  </si>
  <si>
    <t>INE0J1Y01017</t>
  </si>
  <si>
    <t>100012</t>
  </si>
  <si>
    <t>ICICI Bank Ltd.</t>
  </si>
  <si>
    <t>INE090A01021</t>
  </si>
  <si>
    <t>100227</t>
  </si>
  <si>
    <t>Jubilant Foodworks Ltd.</t>
  </si>
  <si>
    <t>INE797F01020</t>
  </si>
  <si>
    <t>100256</t>
  </si>
  <si>
    <t>City Union Bank Ltd.</t>
  </si>
  <si>
    <t>INE491A01021</t>
  </si>
  <si>
    <t>100566</t>
  </si>
  <si>
    <t>Laurus Labs Ltd.</t>
  </si>
  <si>
    <t>INE947Q01028</t>
  </si>
  <si>
    <t>100224</t>
  </si>
  <si>
    <t>Mahindra Lifespace Developers Ltd.</t>
  </si>
  <si>
    <t>INE813A01018</t>
  </si>
  <si>
    <t>Realty</t>
  </si>
  <si>
    <t>100107</t>
  </si>
  <si>
    <t>Max Financial Services Ltd.</t>
  </si>
  <si>
    <t>INE180A01020</t>
  </si>
  <si>
    <t>100085</t>
  </si>
  <si>
    <t>Ashoka Buildcon Ltd.</t>
  </si>
  <si>
    <t>INE442H01029</t>
  </si>
  <si>
    <t>100095</t>
  </si>
  <si>
    <t>Bharti Airtel Ltd.</t>
  </si>
  <si>
    <t>INE397D01024</t>
  </si>
  <si>
    <t>Telecom - Services</t>
  </si>
  <si>
    <t>100814</t>
  </si>
  <si>
    <t>HDFC Asset Management Co. Ltd.</t>
  </si>
  <si>
    <t>INE127D01025</t>
  </si>
  <si>
    <t>100723</t>
  </si>
  <si>
    <t>Ashiana Housing Ltd.</t>
  </si>
  <si>
    <t>INE365D01021</t>
  </si>
  <si>
    <t>101200</t>
  </si>
  <si>
    <t>Gland Pharma Ltd.</t>
  </si>
  <si>
    <t>INE068V01023</t>
  </si>
  <si>
    <t>100743</t>
  </si>
  <si>
    <t>HeidelbergCement India Ltd.</t>
  </si>
  <si>
    <t>INE578A01017</t>
  </si>
  <si>
    <t>100223</t>
  </si>
  <si>
    <t>United Spirits Ltd.</t>
  </si>
  <si>
    <t>INE854D01024</t>
  </si>
  <si>
    <t>Beverages</t>
  </si>
  <si>
    <t>100768</t>
  </si>
  <si>
    <t>V-Mart Retail Ltd.</t>
  </si>
  <si>
    <t>INE665J01013</t>
  </si>
  <si>
    <t>101469</t>
  </si>
  <si>
    <t>Equitas Small Finance Bank Ltd.</t>
  </si>
  <si>
    <t>INE063P01018</t>
  </si>
  <si>
    <t>100165</t>
  </si>
  <si>
    <t>Rallis India Ltd.</t>
  </si>
  <si>
    <t>INE613A01020</t>
  </si>
  <si>
    <t>Fertilizers &amp; Agrochemicals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</si>
  <si>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</si>
  <si>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</si>
  <si>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</si>
  <si>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</si>
  <si>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</si>
  <si>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</si>
  <si>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</si>
  <si>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</si>
  <si>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</si>
  <si>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</si>
  <si>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</si>
  <si>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</si>
  <si>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</si>
  <si>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</si>
  <si>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</si>
  <si>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</si>
  <si>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</si>
  <si>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</si>
  <si>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</si>
  <si>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e)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</si>
  <si>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</si>
  <si>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</si>
  <si>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</si>
  <si>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</si>
  <si>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</si>
  <si>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</si>
  <si>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</si>
  <si>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</si>
  <si>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</si>
  <si>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</si>
  <si>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</si>
  <si>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</si>
  <si>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</si>
  <si>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</si>
  <si>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</si>
  <si>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</si>
  <si>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AA+</t>
  </si>
  <si>
    <t>704927</t>
  </si>
  <si>
    <t>Tata Power Renewable Energy Ltd. (Guaranteed by Tata Power Ltd.)</t>
  </si>
  <si>
    <t>INE607M08105</t>
  </si>
  <si>
    <t>[ICRA]AA+</t>
  </si>
  <si>
    <t>704936</t>
  </si>
  <si>
    <t>Aditya Birla Renewables Ltd.</t>
  </si>
  <si>
    <t>INE01QP08016</t>
  </si>
  <si>
    <t>CRISIL AA</t>
  </si>
  <si>
    <t>705316</t>
  </si>
  <si>
    <t>INE121A08PT9</t>
  </si>
  <si>
    <t>704821</t>
  </si>
  <si>
    <t>Infopark Properties Ltd.</t>
  </si>
  <si>
    <t>INE0KZX07023</t>
  </si>
  <si>
    <t>CARE AA-</t>
  </si>
  <si>
    <t>705332</t>
  </si>
  <si>
    <t>TATA Capital Ltd.</t>
  </si>
  <si>
    <t>INE976I07CZ6</t>
  </si>
  <si>
    <t>CRISIL AAA</t>
  </si>
  <si>
    <t>705407</t>
  </si>
  <si>
    <t>Muthoot Finance Ltd.</t>
  </si>
  <si>
    <t>INE414G07II5</t>
  </si>
  <si>
    <t>704942</t>
  </si>
  <si>
    <t>Avanse Financial Services Ltd.</t>
  </si>
  <si>
    <t>INE087P07402</t>
  </si>
  <si>
    <t>704858</t>
  </si>
  <si>
    <t>SBFC Finance Ltd.</t>
  </si>
  <si>
    <t>INE423Y07112</t>
  </si>
  <si>
    <t>IND AA-</t>
  </si>
  <si>
    <t>705002</t>
  </si>
  <si>
    <t>Bank of Baroda( Tier II Bond under Basel III )</t>
  </si>
  <si>
    <t>INE028A08364</t>
  </si>
  <si>
    <t>705031</t>
  </si>
  <si>
    <t>Godrej Industries Ltd.</t>
  </si>
  <si>
    <t>INE233A08154</t>
  </si>
  <si>
    <t>705442</t>
  </si>
  <si>
    <t>Indostar Capital Finance Ltd.</t>
  </si>
  <si>
    <t>INE896L07AK6</t>
  </si>
  <si>
    <t>704589</t>
  </si>
  <si>
    <t>Tata Projects Ltd.</t>
  </si>
  <si>
    <t>INE725H08162</t>
  </si>
  <si>
    <t>IND AA</t>
  </si>
  <si>
    <t>704778</t>
  </si>
  <si>
    <t>INE121A07SB3</t>
  </si>
  <si>
    <t>704592</t>
  </si>
  <si>
    <t>INE414G07IR6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</si>
  <si>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</si>
  <si>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</si>
  <si>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</si>
  <si>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</si>
  <si>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</si>
  <si>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</si>
  <si>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</si>
  <si>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</si>
  <si>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</si>
  <si>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</si>
  <si>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704484</t>
  </si>
  <si>
    <t>JM Financial Asset Reconstruction Company Ltd.</t>
  </si>
  <si>
    <t>INE265J07555</t>
  </si>
  <si>
    <t>CRISIL AA-</t>
  </si>
  <si>
    <t>705334</t>
  </si>
  <si>
    <t>Bajaj Housing Finance Ltd.</t>
  </si>
  <si>
    <t>INE377Y07540</t>
  </si>
  <si>
    <t>704636</t>
  </si>
  <si>
    <t>Torrent Power Ltd.</t>
  </si>
  <si>
    <t>INE813H07341</t>
  </si>
  <si>
    <t>704655</t>
  </si>
  <si>
    <t>INE896L07942</t>
  </si>
  <si>
    <t>704850</t>
  </si>
  <si>
    <t>Sundaram Finance Ltd.</t>
  </si>
  <si>
    <t>INE660A08CI7</t>
  </si>
  <si>
    <t>704693</t>
  </si>
  <si>
    <t>INE950O07446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</si>
  <si>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</si>
  <si>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</si>
  <si>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</si>
  <si>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</si>
  <si>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</si>
  <si>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</si>
  <si>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</si>
  <si>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</si>
  <si>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</si>
  <si>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</si>
  <si>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</si>
  <si>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</si>
  <si>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</si>
  <si>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900312</t>
  </si>
  <si>
    <t>7.09% CGL 2054</t>
  </si>
  <si>
    <t>IN0020240118</t>
  </si>
  <si>
    <t>Sovereign</t>
  </si>
  <si>
    <t>900308</t>
  </si>
  <si>
    <t>7.34% CGL 2064</t>
  </si>
  <si>
    <t>IN0020240035</t>
  </si>
  <si>
    <t>900313</t>
  </si>
  <si>
    <t>6.79% CGL 2034</t>
  </si>
  <si>
    <t>IN0020240126</t>
  </si>
  <si>
    <t>e) State Government Securities</t>
  </si>
  <si>
    <t>1905931</t>
  </si>
  <si>
    <t>7.10% State Government of West Bengal 2045</t>
  </si>
  <si>
    <t>IN3420240290</t>
  </si>
  <si>
    <t>MONEY MARKET INSTRUMENTS</t>
  </si>
  <si>
    <t>a) Commercial Paper</t>
  </si>
  <si>
    <t>b) Certificate of Deposits</t>
  </si>
  <si>
    <t>1102792</t>
  </si>
  <si>
    <t>Union Bank of India</t>
  </si>
  <si>
    <t>INE692A16IC3</t>
  </si>
  <si>
    <t>[ICRA]A1+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</si>
  <si>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</si>
  <si>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</si>
  <si>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</si>
  <si>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</si>
  <si>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</si>
  <si>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</si>
  <si>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</si>
  <si>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</si>
  <si>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Mutual Fund/ETF</t>
  </si>
  <si>
    <t>417210</t>
  </si>
  <si>
    <t>SBI Gold ETF</t>
  </si>
  <si>
    <t>INF200KA16D8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</si>
  <si>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</si>
  <si>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</si>
  <si>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</si>
  <si>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</si>
  <si>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</si>
  <si>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</si>
  <si>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</si>
  <si>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</si>
  <si>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107250100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</si>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</sst>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49C6E666-FA4D-4992-BEAF-0C45AEBC12A3}"/>
    <cellStyle name="Style 1" xfId="3" xr:uid="{D09EF8CE-5242-4C2D-B4E8-89B8B87CFC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2608633</xdr:colOff>
      <xdr:row>185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C5A755-9161-4BB0-928A-742FEA5E1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2041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5</xdr:col>
      <xdr:colOff>989978</xdr:colOff>
      <xdr:row>185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C3ED8A-107A-4A74-BA6D-1CAB9749A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33204150"/>
          <a:ext cx="264097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July\0807\June%202025\All%20Schemes%20Monthly%20Portfolio%20-%20as%20on%2030th%20June%202025.xlsx" TargetMode="External"/><Relationship Id="rId1" Type="http://schemas.openxmlformats.org/officeDocument/2006/relationships/externalLinkPath" Target="All%20Schemes%20Monthly%20Portfolio%20-%20as%20on%2030th%20Jun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</sheetNames>
    <sheetDataSet>
      <sheetData sheetId="0"/>
      <sheetData sheetId="1"/>
      <sheetData sheetId="2"/>
      <sheetData sheetId="3"/>
      <sheetData sheetId="4">
        <row r="10">
          <cell r="G10">
            <v>540405</v>
          </cell>
          <cell r="H10">
            <v>6.87</v>
          </cell>
        </row>
        <row r="11">
          <cell r="G11">
            <v>341632</v>
          </cell>
          <cell r="H11">
            <v>4.34</v>
          </cell>
        </row>
        <row r="12">
          <cell r="G12">
            <v>315004.2</v>
          </cell>
          <cell r="H12">
            <v>4</v>
          </cell>
        </row>
        <row r="13">
          <cell r="G13">
            <v>303618</v>
          </cell>
          <cell r="H13">
            <v>3.86</v>
          </cell>
        </row>
        <row r="14">
          <cell r="G14">
            <v>302890</v>
          </cell>
          <cell r="H14">
            <v>3.85</v>
          </cell>
        </row>
        <row r="15">
          <cell r="G15">
            <v>251951.5</v>
          </cell>
          <cell r="H15">
            <v>3.2</v>
          </cell>
        </row>
        <row r="16">
          <cell r="G16">
            <v>246105</v>
          </cell>
          <cell r="H16">
            <v>3.13</v>
          </cell>
        </row>
        <row r="17">
          <cell r="G17">
            <v>242012</v>
          </cell>
          <cell r="H17">
            <v>3.07</v>
          </cell>
        </row>
        <row r="18">
          <cell r="G18">
            <v>240270</v>
          </cell>
          <cell r="H18">
            <v>3.05</v>
          </cell>
        </row>
        <row r="19">
          <cell r="G19">
            <v>234125</v>
          </cell>
          <cell r="H19">
            <v>2.97</v>
          </cell>
        </row>
        <row r="20">
          <cell r="G20">
            <v>217210</v>
          </cell>
          <cell r="H20">
            <v>2.76</v>
          </cell>
        </row>
        <row r="21">
          <cell r="G21">
            <v>209177.5</v>
          </cell>
          <cell r="H21">
            <v>2.66</v>
          </cell>
        </row>
        <row r="22">
          <cell r="G22">
            <v>202040.3</v>
          </cell>
          <cell r="H22">
            <v>2.57</v>
          </cell>
        </row>
        <row r="23">
          <cell r="G23">
            <v>195078</v>
          </cell>
          <cell r="H23">
            <v>2.48</v>
          </cell>
        </row>
        <row r="24">
          <cell r="G24">
            <v>189104.79</v>
          </cell>
          <cell r="H24">
            <v>2.4</v>
          </cell>
        </row>
        <row r="25">
          <cell r="G25">
            <v>173212.5</v>
          </cell>
          <cell r="H25">
            <v>2.2000000000000002</v>
          </cell>
        </row>
        <row r="26">
          <cell r="G26">
            <v>144285.9</v>
          </cell>
          <cell r="H26">
            <v>1.83</v>
          </cell>
        </row>
        <row r="27">
          <cell r="G27">
            <v>138480</v>
          </cell>
          <cell r="H27">
            <v>1.76</v>
          </cell>
        </row>
        <row r="28">
          <cell r="G28">
            <v>133442.70000000001</v>
          </cell>
          <cell r="H28">
            <v>1.7</v>
          </cell>
        </row>
        <row r="29">
          <cell r="G29">
            <v>123177.61</v>
          </cell>
          <cell r="H29">
            <v>1.56</v>
          </cell>
        </row>
        <row r="30">
          <cell r="G30">
            <v>100482.65</v>
          </cell>
          <cell r="H30">
            <v>1.28</v>
          </cell>
        </row>
        <row r="31">
          <cell r="G31">
            <v>95984.2</v>
          </cell>
          <cell r="H31">
            <v>1.22</v>
          </cell>
        </row>
        <row r="32">
          <cell r="G32">
            <v>89320</v>
          </cell>
          <cell r="H32">
            <v>1.1299999999999999</v>
          </cell>
        </row>
        <row r="33">
          <cell r="G33">
            <v>71587</v>
          </cell>
          <cell r="H33">
            <v>0.91</v>
          </cell>
        </row>
        <row r="34">
          <cell r="G34">
            <v>65076</v>
          </cell>
          <cell r="H34">
            <v>0.83</v>
          </cell>
        </row>
        <row r="35">
          <cell r="G35">
            <v>63631</v>
          </cell>
          <cell r="H35">
            <v>0.81</v>
          </cell>
        </row>
        <row r="36">
          <cell r="G36">
            <v>62953.78</v>
          </cell>
          <cell r="H36">
            <v>0.8</v>
          </cell>
        </row>
        <row r="37">
          <cell r="G37">
            <v>58214.03</v>
          </cell>
          <cell r="H37">
            <v>0.74</v>
          </cell>
        </row>
        <row r="38">
          <cell r="G38">
            <v>57473.8</v>
          </cell>
          <cell r="H38">
            <v>0.73</v>
          </cell>
        </row>
        <row r="39">
          <cell r="G39">
            <v>57372.7</v>
          </cell>
          <cell r="H39">
            <v>0.73</v>
          </cell>
        </row>
        <row r="40">
          <cell r="G40">
            <v>57225</v>
          </cell>
          <cell r="H40">
            <v>0.73</v>
          </cell>
        </row>
        <row r="41">
          <cell r="G41">
            <v>41120</v>
          </cell>
          <cell r="H41">
            <v>0.52</v>
          </cell>
        </row>
        <row r="42">
          <cell r="G42">
            <v>40562.5</v>
          </cell>
          <cell r="H42">
            <v>0.52</v>
          </cell>
        </row>
        <row r="43">
          <cell r="G43">
            <v>36981</v>
          </cell>
          <cell r="H43">
            <v>0.47</v>
          </cell>
        </row>
        <row r="44">
          <cell r="G44">
            <v>32989</v>
          </cell>
          <cell r="H44">
            <v>0.42</v>
          </cell>
        </row>
        <row r="45">
          <cell r="G45">
            <v>28263.98</v>
          </cell>
          <cell r="H45">
            <v>0.36</v>
          </cell>
        </row>
        <row r="46">
          <cell r="G46">
            <v>22602</v>
          </cell>
          <cell r="H46">
            <v>0.28999999999999998</v>
          </cell>
        </row>
        <row r="47">
          <cell r="G47">
            <v>15244.41</v>
          </cell>
          <cell r="H47">
            <v>0.19</v>
          </cell>
        </row>
        <row r="48">
          <cell r="G48">
            <v>11021.58</v>
          </cell>
          <cell r="H48">
            <v>0.14000000000000001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280210</v>
          </cell>
          <cell r="H10">
            <v>7.26</v>
          </cell>
        </row>
        <row r="11">
          <cell r="G11">
            <v>214137</v>
          </cell>
          <cell r="H11">
            <v>5.55</v>
          </cell>
        </row>
        <row r="12">
          <cell r="G12">
            <v>205600</v>
          </cell>
          <cell r="H12">
            <v>5.32</v>
          </cell>
        </row>
        <row r="13">
          <cell r="G13">
            <v>194715</v>
          </cell>
          <cell r="H13">
            <v>5.04</v>
          </cell>
        </row>
        <row r="14">
          <cell r="G14">
            <v>193578</v>
          </cell>
          <cell r="H14">
            <v>5.01</v>
          </cell>
        </row>
        <row r="15">
          <cell r="G15">
            <v>183673</v>
          </cell>
          <cell r="H15">
            <v>4.76</v>
          </cell>
        </row>
        <row r="16">
          <cell r="G16">
            <v>159038</v>
          </cell>
          <cell r="H16">
            <v>4.12</v>
          </cell>
        </row>
        <row r="17">
          <cell r="G17">
            <v>147378</v>
          </cell>
          <cell r="H17">
            <v>3.82</v>
          </cell>
        </row>
        <row r="18">
          <cell r="G18">
            <v>125913.2</v>
          </cell>
          <cell r="H18">
            <v>3.26</v>
          </cell>
        </row>
        <row r="19">
          <cell r="G19">
            <v>124078.3</v>
          </cell>
          <cell r="H19">
            <v>3.21</v>
          </cell>
        </row>
        <row r="20">
          <cell r="G20">
            <v>123052.5</v>
          </cell>
          <cell r="H20">
            <v>3.19</v>
          </cell>
        </row>
        <row r="21">
          <cell r="G21">
            <v>120528.15</v>
          </cell>
          <cell r="H21">
            <v>3.12</v>
          </cell>
        </row>
        <row r="22">
          <cell r="G22">
            <v>118786.5</v>
          </cell>
          <cell r="H22">
            <v>3.08</v>
          </cell>
        </row>
        <row r="23">
          <cell r="G23">
            <v>114811</v>
          </cell>
          <cell r="H23">
            <v>2.97</v>
          </cell>
        </row>
        <row r="24">
          <cell r="G24">
            <v>102732</v>
          </cell>
          <cell r="H24">
            <v>2.66</v>
          </cell>
        </row>
        <row r="25">
          <cell r="G25">
            <v>101514</v>
          </cell>
          <cell r="H25">
            <v>2.63</v>
          </cell>
        </row>
        <row r="26">
          <cell r="G26">
            <v>93879</v>
          </cell>
          <cell r="H26">
            <v>2.4300000000000002</v>
          </cell>
        </row>
        <row r="27">
          <cell r="G27">
            <v>93786</v>
          </cell>
          <cell r="H27">
            <v>2.4300000000000002</v>
          </cell>
        </row>
        <row r="28">
          <cell r="G28">
            <v>90378.46</v>
          </cell>
          <cell r="H28">
            <v>2.34</v>
          </cell>
        </row>
        <row r="29">
          <cell r="G29">
            <v>86139</v>
          </cell>
          <cell r="H29">
            <v>2.23</v>
          </cell>
        </row>
        <row r="30">
          <cell r="G30">
            <v>82059.899999999994</v>
          </cell>
          <cell r="H30">
            <v>2.13</v>
          </cell>
        </row>
        <row r="31">
          <cell r="G31">
            <v>81829.5</v>
          </cell>
          <cell r="H31">
            <v>2.12</v>
          </cell>
        </row>
        <row r="32">
          <cell r="G32">
            <v>78643.899999999994</v>
          </cell>
          <cell r="H32">
            <v>2.04</v>
          </cell>
        </row>
        <row r="33">
          <cell r="G33">
            <v>73340</v>
          </cell>
          <cell r="H33">
            <v>1.9</v>
          </cell>
        </row>
        <row r="34">
          <cell r="G34">
            <v>43495</v>
          </cell>
          <cell r="H34">
            <v>1.1299999999999999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10">
          <cell r="G10">
            <v>220363.74</v>
          </cell>
          <cell r="H10">
            <v>6.01</v>
          </cell>
        </row>
        <row r="11">
          <cell r="G11">
            <v>196620.9</v>
          </cell>
          <cell r="H11">
            <v>5.37</v>
          </cell>
        </row>
        <row r="12">
          <cell r="G12">
            <v>93253.48</v>
          </cell>
          <cell r="H12">
            <v>2.5499999999999998</v>
          </cell>
        </row>
        <row r="13">
          <cell r="G13">
            <v>91926.9</v>
          </cell>
          <cell r="H13">
            <v>2.5099999999999998</v>
          </cell>
        </row>
        <row r="14">
          <cell r="G14">
            <v>87949.85</v>
          </cell>
          <cell r="H14">
            <v>2.4</v>
          </cell>
        </row>
        <row r="15">
          <cell r="G15">
            <v>81641.75</v>
          </cell>
          <cell r="H15">
            <v>2.23</v>
          </cell>
        </row>
        <row r="16">
          <cell r="G16">
            <v>79597.399999999994</v>
          </cell>
          <cell r="H16">
            <v>2.17</v>
          </cell>
        </row>
        <row r="17">
          <cell r="G17">
            <v>74669.490000000005</v>
          </cell>
          <cell r="H17">
            <v>2.04</v>
          </cell>
        </row>
        <row r="18">
          <cell r="G18">
            <v>72702.509999999995</v>
          </cell>
          <cell r="H18">
            <v>1.98</v>
          </cell>
        </row>
        <row r="19">
          <cell r="G19">
            <v>71356.740000000005</v>
          </cell>
          <cell r="H19">
            <v>1.95</v>
          </cell>
        </row>
        <row r="20">
          <cell r="G20">
            <v>71276.69</v>
          </cell>
          <cell r="H20">
            <v>1.95</v>
          </cell>
        </row>
        <row r="21">
          <cell r="G21">
            <v>70393.23</v>
          </cell>
          <cell r="H21">
            <v>1.92</v>
          </cell>
        </row>
        <row r="22">
          <cell r="G22">
            <v>66292.28</v>
          </cell>
          <cell r="H22">
            <v>1.81</v>
          </cell>
        </row>
        <row r="23">
          <cell r="G23">
            <v>65214.5</v>
          </cell>
          <cell r="H23">
            <v>1.78</v>
          </cell>
        </row>
        <row r="24">
          <cell r="G24">
            <v>61625.97</v>
          </cell>
          <cell r="H24">
            <v>1.68</v>
          </cell>
        </row>
        <row r="25">
          <cell r="G25">
            <v>60028.11</v>
          </cell>
          <cell r="H25">
            <v>1.64</v>
          </cell>
        </row>
        <row r="26">
          <cell r="G26">
            <v>58395</v>
          </cell>
          <cell r="H26">
            <v>1.59</v>
          </cell>
        </row>
        <row r="27">
          <cell r="G27">
            <v>48718.2</v>
          </cell>
          <cell r="H27">
            <v>1.33</v>
          </cell>
        </row>
        <row r="28">
          <cell r="G28">
            <v>48031.4</v>
          </cell>
          <cell r="H28">
            <v>1.31</v>
          </cell>
        </row>
        <row r="29">
          <cell r="G29">
            <v>45784.800000000003</v>
          </cell>
          <cell r="H29">
            <v>1.25</v>
          </cell>
        </row>
        <row r="30">
          <cell r="G30">
            <v>42346.6</v>
          </cell>
          <cell r="H30">
            <v>1.1599999999999999</v>
          </cell>
        </row>
        <row r="31">
          <cell r="G31">
            <v>41552.29</v>
          </cell>
          <cell r="H31">
            <v>1.1299999999999999</v>
          </cell>
        </row>
        <row r="32">
          <cell r="G32">
            <v>39695.9</v>
          </cell>
          <cell r="H32">
            <v>1.08</v>
          </cell>
        </row>
        <row r="33">
          <cell r="G33">
            <v>37899</v>
          </cell>
          <cell r="H33">
            <v>1.03</v>
          </cell>
        </row>
        <row r="34">
          <cell r="G34">
            <v>37038.22</v>
          </cell>
          <cell r="H34">
            <v>1.01</v>
          </cell>
        </row>
        <row r="35">
          <cell r="G35">
            <v>36853.980000000003</v>
          </cell>
          <cell r="H35">
            <v>1.01</v>
          </cell>
        </row>
        <row r="36">
          <cell r="G36">
            <v>35645.43</v>
          </cell>
          <cell r="H36">
            <v>0.97</v>
          </cell>
        </row>
        <row r="37">
          <cell r="G37">
            <v>32180.31</v>
          </cell>
          <cell r="H37">
            <v>0.88</v>
          </cell>
        </row>
        <row r="38">
          <cell r="G38">
            <v>32085.119999999999</v>
          </cell>
          <cell r="H38">
            <v>0.88</v>
          </cell>
        </row>
        <row r="39">
          <cell r="G39">
            <v>28829.64</v>
          </cell>
          <cell r="H39">
            <v>0.79</v>
          </cell>
        </row>
        <row r="40">
          <cell r="G40">
            <v>28324.97</v>
          </cell>
          <cell r="H40">
            <v>0.77</v>
          </cell>
        </row>
        <row r="41">
          <cell r="G41">
            <v>28274.82</v>
          </cell>
          <cell r="H41">
            <v>0.77</v>
          </cell>
        </row>
        <row r="42">
          <cell r="G42">
            <v>28242.38</v>
          </cell>
          <cell r="H42">
            <v>0.77</v>
          </cell>
        </row>
        <row r="43">
          <cell r="G43">
            <v>24322.28</v>
          </cell>
          <cell r="H43">
            <v>0.66</v>
          </cell>
        </row>
        <row r="44">
          <cell r="G44">
            <v>24268.2</v>
          </cell>
          <cell r="H44">
            <v>0.66</v>
          </cell>
        </row>
        <row r="45">
          <cell r="G45">
            <v>23523.119999999999</v>
          </cell>
          <cell r="H45">
            <v>0.64</v>
          </cell>
        </row>
        <row r="46">
          <cell r="G46">
            <v>22190.37</v>
          </cell>
          <cell r="H46">
            <v>0.61</v>
          </cell>
        </row>
        <row r="47">
          <cell r="G47">
            <v>22122.11</v>
          </cell>
          <cell r="H47">
            <v>0.6</v>
          </cell>
        </row>
        <row r="48">
          <cell r="G48">
            <v>20527.490000000002</v>
          </cell>
          <cell r="H48">
            <v>0.56000000000000005</v>
          </cell>
        </row>
        <row r="49">
          <cell r="G49">
            <v>18809.46</v>
          </cell>
          <cell r="H49">
            <v>0.51</v>
          </cell>
        </row>
        <row r="50">
          <cell r="G50">
            <v>17671.61</v>
          </cell>
          <cell r="H50">
            <v>0.48</v>
          </cell>
        </row>
        <row r="51">
          <cell r="G51">
            <v>17024.2</v>
          </cell>
          <cell r="H51">
            <v>0.46</v>
          </cell>
        </row>
        <row r="52">
          <cell r="G52">
            <v>16020.34</v>
          </cell>
          <cell r="H52">
            <v>0.44</v>
          </cell>
        </row>
        <row r="53">
          <cell r="G53">
            <v>15312</v>
          </cell>
          <cell r="H53">
            <v>0.42</v>
          </cell>
        </row>
        <row r="54">
          <cell r="G54">
            <v>15244.27</v>
          </cell>
          <cell r="H54">
            <v>0.42</v>
          </cell>
        </row>
        <row r="55">
          <cell r="G55">
            <v>14742.47</v>
          </cell>
          <cell r="H55">
            <v>0.4</v>
          </cell>
        </row>
        <row r="56">
          <cell r="G56">
            <v>14724.41</v>
          </cell>
          <cell r="H56">
            <v>0.4</v>
          </cell>
        </row>
        <row r="57">
          <cell r="G57">
            <v>13863.62</v>
          </cell>
          <cell r="H57">
            <v>0.38</v>
          </cell>
        </row>
        <row r="58">
          <cell r="G58">
            <v>13680.26</v>
          </cell>
          <cell r="H58">
            <v>0.37</v>
          </cell>
        </row>
        <row r="59">
          <cell r="G59">
            <v>12687.18</v>
          </cell>
          <cell r="H59">
            <v>0.35</v>
          </cell>
        </row>
        <row r="60">
          <cell r="G60">
            <v>10739.21</v>
          </cell>
          <cell r="H60">
            <v>0.28999999999999998</v>
          </cell>
        </row>
        <row r="61">
          <cell r="G61">
            <v>8869.9500000000007</v>
          </cell>
          <cell r="H61">
            <v>0.24</v>
          </cell>
        </row>
        <row r="62">
          <cell r="G62">
            <v>8663.14</v>
          </cell>
          <cell r="H62">
            <v>0.24</v>
          </cell>
        </row>
        <row r="63">
          <cell r="G63">
            <v>8195.67</v>
          </cell>
          <cell r="H63">
            <v>0.22</v>
          </cell>
        </row>
        <row r="64">
          <cell r="G64">
            <v>7956.46</v>
          </cell>
          <cell r="H64">
            <v>0.22</v>
          </cell>
        </row>
        <row r="65">
          <cell r="G65">
            <v>7736.5</v>
          </cell>
          <cell r="H65">
            <v>0.21</v>
          </cell>
        </row>
        <row r="66">
          <cell r="G66">
            <v>6764.24</v>
          </cell>
          <cell r="H66">
            <v>0.18</v>
          </cell>
        </row>
        <row r="67">
          <cell r="G67">
            <v>6595.93</v>
          </cell>
          <cell r="H67">
            <v>0.18</v>
          </cell>
        </row>
        <row r="68">
          <cell r="G68">
            <v>6230.9</v>
          </cell>
          <cell r="H68">
            <v>0.17</v>
          </cell>
        </row>
        <row r="69">
          <cell r="G69">
            <v>5452.86</v>
          </cell>
          <cell r="H69">
            <v>0.15</v>
          </cell>
        </row>
        <row r="70">
          <cell r="G70">
            <v>4157.3</v>
          </cell>
          <cell r="H70">
            <v>0.11</v>
          </cell>
        </row>
        <row r="71">
          <cell r="G71">
            <v>4080.44</v>
          </cell>
          <cell r="H71">
            <v>0.11</v>
          </cell>
        </row>
        <row r="72">
          <cell r="G72">
            <v>3341.29</v>
          </cell>
          <cell r="H72">
            <v>0.09</v>
          </cell>
        </row>
        <row r="73">
          <cell r="G73">
            <v>2914.65</v>
          </cell>
          <cell r="H73">
            <v>0.08</v>
          </cell>
        </row>
        <row r="74">
          <cell r="G74">
            <v>1859.86</v>
          </cell>
          <cell r="H74">
            <v>0.05</v>
          </cell>
        </row>
        <row r="75">
          <cell r="G75">
            <v>1630.32</v>
          </cell>
          <cell r="H75">
            <v>0.04</v>
          </cell>
        </row>
        <row r="76">
          <cell r="G76">
            <v>1422.05</v>
          </cell>
          <cell r="H76">
            <v>0.04</v>
          </cell>
        </row>
        <row r="77">
          <cell r="G77">
            <v>1074.49</v>
          </cell>
          <cell r="H77">
            <v>0.03</v>
          </cell>
        </row>
        <row r="78">
          <cell r="G78">
            <v>1072.51</v>
          </cell>
          <cell r="H78">
            <v>0.03</v>
          </cell>
        </row>
        <row r="79">
          <cell r="G79">
            <v>1026.1199999999999</v>
          </cell>
          <cell r="H79">
            <v>0.03</v>
          </cell>
        </row>
        <row r="80">
          <cell r="G80">
            <v>732.86</v>
          </cell>
          <cell r="H80">
            <v>0.02</v>
          </cell>
        </row>
        <row r="81">
          <cell r="G81">
            <v>546.53</v>
          </cell>
          <cell r="H81">
            <v>0.01</v>
          </cell>
        </row>
        <row r="82">
          <cell r="G82">
            <v>362</v>
          </cell>
          <cell r="H82">
            <v>0.01</v>
          </cell>
        </row>
        <row r="83">
          <cell r="G83">
            <v>205.96</v>
          </cell>
          <cell r="H83">
            <v>0.01</v>
          </cell>
        </row>
        <row r="84">
          <cell r="G84">
            <v>180.42</v>
          </cell>
          <cell r="H84" t="str">
            <v>#</v>
          </cell>
        </row>
        <row r="85">
          <cell r="G85">
            <v>113.4</v>
          </cell>
          <cell r="H85" t="str">
            <v>#</v>
          </cell>
        </row>
        <row r="86">
          <cell r="G86">
            <v>111.12</v>
          </cell>
          <cell r="H86" t="str">
            <v>#</v>
          </cell>
        </row>
        <row r="87">
          <cell r="G87">
            <v>9.83</v>
          </cell>
          <cell r="H87" t="str">
            <v>#</v>
          </cell>
        </row>
        <row r="88">
          <cell r="G88">
            <v>3.21</v>
          </cell>
          <cell r="H88" t="str">
            <v>#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59F2-CBB4-46DA-B76F-4D94E5E06781}">
  <sheetPr codeName="Sheet126"/>
  <dimension ref="A1:IV178"/>
  <sheetViews>
    <sheetView showGridLines="0" tabSelected="1" zoomScale="90" zoomScaleNormal="90" workbookViewId="0">
      <pane ySplit="6" topLeftCell="A160" activePane="bottomLeft" state="frozen"/>
      <selection activeCell="C2" sqref="C2"/>
      <selection pane="bottomLeft" activeCell="E177" sqref="E177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45838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1331000</v>
      </c>
      <c r="G10" s="34">
        <v>26639.97</v>
      </c>
      <c r="H10" s="34">
        <v>2.98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1720000</v>
      </c>
      <c r="G11" s="34">
        <v>25810.32</v>
      </c>
      <c r="H11" s="34">
        <v>2.89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20500000</v>
      </c>
      <c r="G12" s="34">
        <v>16922.75</v>
      </c>
      <c r="H12" s="34">
        <v>1.89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3800000</v>
      </c>
      <c r="G13" s="34">
        <v>15825.1</v>
      </c>
      <c r="H13" s="34">
        <v>1.77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20</v>
      </c>
      <c r="F14" s="33">
        <v>7500000</v>
      </c>
      <c r="G14" s="34">
        <v>14223</v>
      </c>
      <c r="H14" s="34">
        <v>1.59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611361</v>
      </c>
      <c r="G15" s="34">
        <v>13880.95</v>
      </c>
      <c r="H15" s="34">
        <v>1.55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780000</v>
      </c>
      <c r="G16" s="34">
        <v>13483.08</v>
      </c>
      <c r="H16" s="34">
        <v>1.51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47</v>
      </c>
      <c r="F17" s="33">
        <v>10000000</v>
      </c>
      <c r="G17" s="34">
        <v>13398</v>
      </c>
      <c r="H17" s="34">
        <v>1.5</v>
      </c>
      <c r="I17" s="35"/>
      <c r="J17" s="35"/>
      <c r="K17" s="36"/>
    </row>
    <row r="18" spans="2:11" x14ac:dyDescent="0.35">
      <c r="B18" s="1" t="s">
        <v>48</v>
      </c>
      <c r="C18" s="21" t="s">
        <v>49</v>
      </c>
      <c r="D18" s="31" t="s">
        <v>50</v>
      </c>
      <c r="E18" s="32" t="s">
        <v>51</v>
      </c>
      <c r="F18" s="33">
        <v>1870000</v>
      </c>
      <c r="G18" s="34">
        <v>10792.71</v>
      </c>
      <c r="H18" s="34">
        <v>1.21</v>
      </c>
      <c r="I18" s="35"/>
      <c r="J18" s="35"/>
      <c r="K18" s="36"/>
    </row>
    <row r="19" spans="2:11" x14ac:dyDescent="0.35">
      <c r="B19" s="1" t="s">
        <v>52</v>
      </c>
      <c r="C19" s="21" t="s">
        <v>53</v>
      </c>
      <c r="D19" s="31" t="s">
        <v>54</v>
      </c>
      <c r="E19" s="32" t="s">
        <v>55</v>
      </c>
      <c r="F19" s="33">
        <v>500000</v>
      </c>
      <c r="G19" s="34">
        <v>10280</v>
      </c>
      <c r="H19" s="34">
        <v>1.1499999999999999</v>
      </c>
      <c r="I19" s="35"/>
      <c r="J19" s="35"/>
      <c r="K19" s="36"/>
    </row>
    <row r="20" spans="2:11" x14ac:dyDescent="0.35">
      <c r="B20" s="1" t="s">
        <v>56</v>
      </c>
      <c r="C20" s="21" t="s">
        <v>57</v>
      </c>
      <c r="D20" s="31" t="s">
        <v>58</v>
      </c>
      <c r="E20" s="32" t="s">
        <v>20</v>
      </c>
      <c r="F20" s="33">
        <v>800000</v>
      </c>
      <c r="G20" s="34">
        <v>9593.6</v>
      </c>
      <c r="H20" s="34">
        <v>1.07</v>
      </c>
      <c r="I20" s="35"/>
      <c r="J20" s="35"/>
      <c r="K20" s="36"/>
    </row>
    <row r="21" spans="2:11" x14ac:dyDescent="0.35">
      <c r="B21" s="1" t="s">
        <v>59</v>
      </c>
      <c r="C21" s="21" t="s">
        <v>60</v>
      </c>
      <c r="D21" s="31" t="s">
        <v>61</v>
      </c>
      <c r="E21" s="32" t="s">
        <v>20</v>
      </c>
      <c r="F21" s="33">
        <v>8000000</v>
      </c>
      <c r="G21" s="34">
        <v>8840</v>
      </c>
      <c r="H21" s="34">
        <v>0.99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24</v>
      </c>
      <c r="F22" s="33">
        <v>6000000</v>
      </c>
      <c r="G22" s="34">
        <v>8817.6</v>
      </c>
      <c r="H22" s="34">
        <v>0.99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68</v>
      </c>
      <c r="F23" s="33">
        <v>5000000</v>
      </c>
      <c r="G23" s="34">
        <v>8587.5</v>
      </c>
      <c r="H23" s="34">
        <v>0.96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72</v>
      </c>
      <c r="F24" s="33">
        <v>63550</v>
      </c>
      <c r="G24" s="34">
        <v>8510.6200000000008</v>
      </c>
      <c r="H24" s="34">
        <v>0.95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76</v>
      </c>
      <c r="F25" s="33">
        <v>4350297</v>
      </c>
      <c r="G25" s="34">
        <v>8302.11</v>
      </c>
      <c r="H25" s="34">
        <v>0.93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43</v>
      </c>
      <c r="F26" s="33">
        <v>3000000</v>
      </c>
      <c r="G26" s="34">
        <v>7979.4</v>
      </c>
      <c r="H26" s="34">
        <v>0.89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83</v>
      </c>
      <c r="F27" s="33">
        <v>883179</v>
      </c>
      <c r="G27" s="34">
        <v>7951.7</v>
      </c>
      <c r="H27" s="34">
        <v>0.89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43</v>
      </c>
      <c r="F28" s="33">
        <v>465000</v>
      </c>
      <c r="G28" s="34">
        <v>7844.55</v>
      </c>
      <c r="H28" s="34">
        <v>0.88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20</v>
      </c>
      <c r="F29" s="33">
        <v>950000</v>
      </c>
      <c r="G29" s="34">
        <v>7793.33</v>
      </c>
      <c r="H29" s="34">
        <v>0.87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93</v>
      </c>
      <c r="F30" s="33">
        <v>5630100</v>
      </c>
      <c r="G30" s="34">
        <v>7431.17</v>
      </c>
      <c r="H30" s="34">
        <v>0.83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97</v>
      </c>
      <c r="F31" s="33">
        <v>300000</v>
      </c>
      <c r="G31" s="34">
        <v>7221.3</v>
      </c>
      <c r="H31" s="34">
        <v>0.81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43</v>
      </c>
      <c r="F32" s="33">
        <v>135247</v>
      </c>
      <c r="G32" s="34">
        <v>7191.08</v>
      </c>
      <c r="H32" s="34">
        <v>0.8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561076</v>
      </c>
      <c r="G33" s="34">
        <v>6885.52</v>
      </c>
      <c r="H33" s="34">
        <v>0.77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47</v>
      </c>
      <c r="F34" s="33">
        <v>3300000</v>
      </c>
      <c r="G34" s="34">
        <v>6876.87</v>
      </c>
      <c r="H34" s="34">
        <v>0.77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1916589</v>
      </c>
      <c r="G35" s="34">
        <v>6817.31</v>
      </c>
      <c r="H35" s="34">
        <v>0.76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97</v>
      </c>
      <c r="F36" s="33">
        <v>1400000</v>
      </c>
      <c r="G36" s="34">
        <v>6793.5</v>
      </c>
      <c r="H36" s="34">
        <v>0.76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3500000</v>
      </c>
      <c r="G37" s="34">
        <v>6758.85</v>
      </c>
      <c r="H37" s="34">
        <v>0.76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1012032</v>
      </c>
      <c r="G38" s="34">
        <v>6658.16</v>
      </c>
      <c r="H38" s="34">
        <v>0.74</v>
      </c>
      <c r="I38" s="35"/>
      <c r="J38" s="35"/>
      <c r="K38" s="36"/>
    </row>
    <row r="39" spans="2:11" x14ac:dyDescent="0.35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2500000</v>
      </c>
      <c r="G39" s="34">
        <v>6105.25</v>
      </c>
      <c r="H39" s="34">
        <v>0.68</v>
      </c>
      <c r="I39" s="35"/>
      <c r="J39" s="35"/>
      <c r="K39" s="36"/>
    </row>
    <row r="40" spans="2:11" x14ac:dyDescent="0.35">
      <c r="B40" s="1" t="s">
        <v>127</v>
      </c>
      <c r="C40" s="21" t="s">
        <v>128</v>
      </c>
      <c r="D40" s="31" t="s">
        <v>129</v>
      </c>
      <c r="E40" s="32" t="s">
        <v>43</v>
      </c>
      <c r="F40" s="33">
        <v>380000</v>
      </c>
      <c r="G40" s="34">
        <v>6086.84</v>
      </c>
      <c r="H40" s="34">
        <v>0.68</v>
      </c>
      <c r="I40" s="35"/>
      <c r="J40" s="35"/>
      <c r="K40" s="36"/>
    </row>
    <row r="41" spans="2:11" x14ac:dyDescent="0.35">
      <c r="B41" s="1" t="s">
        <v>130</v>
      </c>
      <c r="C41" s="21" t="s">
        <v>131</v>
      </c>
      <c r="D41" s="31" t="s">
        <v>132</v>
      </c>
      <c r="E41" s="32" t="s">
        <v>133</v>
      </c>
      <c r="F41" s="33">
        <v>1374277</v>
      </c>
      <c r="G41" s="34">
        <v>5787.77</v>
      </c>
      <c r="H41" s="34">
        <v>0.65</v>
      </c>
      <c r="I41" s="35"/>
      <c r="J41" s="35"/>
      <c r="K41" s="36"/>
    </row>
    <row r="42" spans="2:11" x14ac:dyDescent="0.35">
      <c r="B42" s="1" t="s">
        <v>134</v>
      </c>
      <c r="C42" s="21" t="s">
        <v>135</v>
      </c>
      <c r="D42" s="31" t="s">
        <v>136</v>
      </c>
      <c r="E42" s="32" t="s">
        <v>97</v>
      </c>
      <c r="F42" s="33">
        <v>1000000</v>
      </c>
      <c r="G42" s="34">
        <v>5716</v>
      </c>
      <c r="H42" s="34">
        <v>0.64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2321227</v>
      </c>
      <c r="G43" s="34">
        <v>5553.07</v>
      </c>
      <c r="H43" s="34">
        <v>0.62</v>
      </c>
      <c r="I43" s="35"/>
      <c r="J43" s="35"/>
      <c r="K43" s="36"/>
    </row>
    <row r="44" spans="2:11" x14ac:dyDescent="0.35">
      <c r="B44" s="1" t="s">
        <v>141</v>
      </c>
      <c r="C44" s="21" t="s">
        <v>142</v>
      </c>
      <c r="D44" s="31" t="s">
        <v>143</v>
      </c>
      <c r="E44" s="32" t="s">
        <v>144</v>
      </c>
      <c r="F44" s="33">
        <v>711574</v>
      </c>
      <c r="G44" s="34">
        <v>5059.29</v>
      </c>
      <c r="H44" s="34">
        <v>0.56999999999999995</v>
      </c>
      <c r="I44" s="35"/>
      <c r="J44" s="35"/>
      <c r="K44" s="36"/>
    </row>
    <row r="45" spans="2:11" x14ac:dyDescent="0.35">
      <c r="B45" s="1" t="s">
        <v>145</v>
      </c>
      <c r="C45" s="21" t="s">
        <v>146</v>
      </c>
      <c r="D45" s="31" t="s">
        <v>147</v>
      </c>
      <c r="E45" s="32" t="s">
        <v>122</v>
      </c>
      <c r="F45" s="33">
        <v>500000</v>
      </c>
      <c r="G45" s="34">
        <v>4864</v>
      </c>
      <c r="H45" s="34">
        <v>0.54</v>
      </c>
      <c r="I45" s="35"/>
      <c r="J45" s="35"/>
      <c r="K45" s="36"/>
    </row>
    <row r="46" spans="2:11" x14ac:dyDescent="0.35">
      <c r="B46" s="1" t="s">
        <v>148</v>
      </c>
      <c r="C46" s="21" t="s">
        <v>149</v>
      </c>
      <c r="D46" s="31" t="s">
        <v>150</v>
      </c>
      <c r="E46" s="32" t="s">
        <v>20</v>
      </c>
      <c r="F46" s="33">
        <v>320000</v>
      </c>
      <c r="G46" s="34">
        <v>4626.5600000000004</v>
      </c>
      <c r="H46" s="34">
        <v>0.52</v>
      </c>
      <c r="I46" s="35"/>
      <c r="J46" s="35"/>
      <c r="K46" s="36"/>
    </row>
    <row r="47" spans="2:11" x14ac:dyDescent="0.35">
      <c r="B47" s="1" t="s">
        <v>151</v>
      </c>
      <c r="C47" s="21" t="s">
        <v>152</v>
      </c>
      <c r="D47" s="31" t="s">
        <v>153</v>
      </c>
      <c r="E47" s="32" t="s">
        <v>28</v>
      </c>
      <c r="F47" s="33">
        <v>639295</v>
      </c>
      <c r="G47" s="34">
        <v>4486.57</v>
      </c>
      <c r="H47" s="34">
        <v>0.5</v>
      </c>
      <c r="I47" s="35"/>
      <c r="J47" s="35"/>
      <c r="K47" s="36"/>
    </row>
    <row r="48" spans="2:11" x14ac:dyDescent="0.35">
      <c r="B48" s="1" t="s">
        <v>154</v>
      </c>
      <c r="C48" s="21" t="s">
        <v>155</v>
      </c>
      <c r="D48" s="31" t="s">
        <v>156</v>
      </c>
      <c r="E48" s="32" t="s">
        <v>20</v>
      </c>
      <c r="F48" s="33">
        <v>1960755</v>
      </c>
      <c r="G48" s="34">
        <v>4288.37</v>
      </c>
      <c r="H48" s="34">
        <v>0.48</v>
      </c>
      <c r="I48" s="35"/>
      <c r="J48" s="35"/>
      <c r="K48" s="36"/>
    </row>
    <row r="49" spans="2:11" x14ac:dyDescent="0.35">
      <c r="B49" s="1" t="s">
        <v>157</v>
      </c>
      <c r="C49" s="21" t="s">
        <v>158</v>
      </c>
      <c r="D49" s="31" t="s">
        <v>159</v>
      </c>
      <c r="E49" s="32" t="s">
        <v>111</v>
      </c>
      <c r="F49" s="33">
        <v>525000</v>
      </c>
      <c r="G49" s="34">
        <v>3805.46</v>
      </c>
      <c r="H49" s="34">
        <v>0.43</v>
      </c>
      <c r="I49" s="35"/>
      <c r="J49" s="35"/>
      <c r="K49" s="36"/>
    </row>
    <row r="50" spans="2:11" x14ac:dyDescent="0.35">
      <c r="B50" s="1" t="s">
        <v>160</v>
      </c>
      <c r="C50" s="21" t="s">
        <v>161</v>
      </c>
      <c r="D50" s="31" t="s">
        <v>162</v>
      </c>
      <c r="E50" s="32" t="s">
        <v>163</v>
      </c>
      <c r="F50" s="33">
        <v>1040661</v>
      </c>
      <c r="G50" s="34">
        <v>3759.91</v>
      </c>
      <c r="H50" s="34">
        <v>0.42</v>
      </c>
      <c r="I50" s="35"/>
      <c r="J50" s="35"/>
      <c r="K50" s="36"/>
    </row>
    <row r="51" spans="2:11" x14ac:dyDescent="0.35">
      <c r="B51" s="1" t="s">
        <v>164</v>
      </c>
      <c r="C51" s="21" t="s">
        <v>165</v>
      </c>
      <c r="D51" s="31" t="s">
        <v>166</v>
      </c>
      <c r="E51" s="32" t="s">
        <v>122</v>
      </c>
      <c r="F51" s="33">
        <v>219043</v>
      </c>
      <c r="G51" s="34">
        <v>3607.86</v>
      </c>
      <c r="H51" s="34">
        <v>0.4</v>
      </c>
      <c r="I51" s="35"/>
      <c r="J51" s="35"/>
      <c r="K51" s="36"/>
    </row>
    <row r="52" spans="2:11" x14ac:dyDescent="0.35">
      <c r="B52" s="1" t="s">
        <v>167</v>
      </c>
      <c r="C52" s="21" t="s">
        <v>168</v>
      </c>
      <c r="D52" s="31" t="s">
        <v>169</v>
      </c>
      <c r="E52" s="32" t="s">
        <v>104</v>
      </c>
      <c r="F52" s="33">
        <v>1693793</v>
      </c>
      <c r="G52" s="34">
        <v>3606.09</v>
      </c>
      <c r="H52" s="34">
        <v>0.4</v>
      </c>
      <c r="I52" s="35"/>
      <c r="J52" s="35"/>
      <c r="K52" s="36"/>
    </row>
    <row r="53" spans="2:11" x14ac:dyDescent="0.35">
      <c r="B53" s="1" t="s">
        <v>170</v>
      </c>
      <c r="C53" s="21" t="s">
        <v>171</v>
      </c>
      <c r="D53" s="31" t="s">
        <v>172</v>
      </c>
      <c r="E53" s="32" t="s">
        <v>173</v>
      </c>
      <c r="F53" s="33">
        <v>160000</v>
      </c>
      <c r="G53" s="34">
        <v>3215.36</v>
      </c>
      <c r="H53" s="34">
        <v>0.36</v>
      </c>
      <c r="I53" s="35"/>
      <c r="J53" s="35"/>
      <c r="K53" s="36"/>
    </row>
    <row r="54" spans="2:11" x14ac:dyDescent="0.35">
      <c r="B54" s="1" t="s">
        <v>174</v>
      </c>
      <c r="C54" s="21" t="s">
        <v>175</v>
      </c>
      <c r="D54" s="31" t="s">
        <v>176</v>
      </c>
      <c r="E54" s="32" t="s">
        <v>118</v>
      </c>
      <c r="F54" s="33">
        <v>56794</v>
      </c>
      <c r="G54" s="34">
        <v>2948.63</v>
      </c>
      <c r="H54" s="34">
        <v>0.33</v>
      </c>
      <c r="I54" s="35"/>
      <c r="J54" s="35"/>
      <c r="K54" s="36"/>
    </row>
    <row r="55" spans="2:11" x14ac:dyDescent="0.35">
      <c r="B55" s="1" t="s">
        <v>177</v>
      </c>
      <c r="C55" s="21" t="s">
        <v>178</v>
      </c>
      <c r="D55" s="31" t="s">
        <v>179</v>
      </c>
      <c r="E55" s="32" t="s">
        <v>163</v>
      </c>
      <c r="F55" s="33">
        <v>829665</v>
      </c>
      <c r="G55" s="34">
        <v>2867.74</v>
      </c>
      <c r="H55" s="34">
        <v>0.32</v>
      </c>
      <c r="I55" s="35"/>
      <c r="J55" s="35"/>
      <c r="K55" s="36"/>
    </row>
    <row r="56" spans="2:11" x14ac:dyDescent="0.35">
      <c r="B56" s="1" t="s">
        <v>180</v>
      </c>
      <c r="C56" s="21" t="s">
        <v>181</v>
      </c>
      <c r="D56" s="31" t="s">
        <v>182</v>
      </c>
      <c r="E56" s="32" t="s">
        <v>111</v>
      </c>
      <c r="F56" s="33">
        <v>147079</v>
      </c>
      <c r="G56" s="34">
        <v>2696.84</v>
      </c>
      <c r="H56" s="34">
        <v>0.3</v>
      </c>
      <c r="I56" s="35"/>
      <c r="J56" s="35"/>
      <c r="K56" s="36"/>
    </row>
    <row r="57" spans="2:11" x14ac:dyDescent="0.35">
      <c r="B57" s="1" t="s">
        <v>183</v>
      </c>
      <c r="C57" s="21" t="s">
        <v>184</v>
      </c>
      <c r="D57" s="31" t="s">
        <v>185</v>
      </c>
      <c r="E57" s="32" t="s">
        <v>140</v>
      </c>
      <c r="F57" s="33">
        <v>1300000</v>
      </c>
      <c r="G57" s="34">
        <v>2673.06</v>
      </c>
      <c r="H57" s="34">
        <v>0.3</v>
      </c>
      <c r="I57" s="35"/>
      <c r="J57" s="35"/>
      <c r="K57" s="36"/>
    </row>
    <row r="58" spans="2:11" x14ac:dyDescent="0.35">
      <c r="B58" s="1" t="s">
        <v>186</v>
      </c>
      <c r="C58" s="21" t="s">
        <v>187</v>
      </c>
      <c r="D58" s="31" t="s">
        <v>188</v>
      </c>
      <c r="E58" s="32" t="s">
        <v>189</v>
      </c>
      <c r="F58" s="33">
        <v>179171</v>
      </c>
      <c r="G58" s="34">
        <v>2558.7399999999998</v>
      </c>
      <c r="H58" s="34">
        <v>0.28999999999999998</v>
      </c>
      <c r="I58" s="35"/>
      <c r="J58" s="35"/>
      <c r="K58" s="36"/>
    </row>
    <row r="59" spans="2:11" x14ac:dyDescent="0.35">
      <c r="B59" s="1" t="s">
        <v>190</v>
      </c>
      <c r="C59" s="21" t="s">
        <v>191</v>
      </c>
      <c r="D59" s="31" t="s">
        <v>192</v>
      </c>
      <c r="E59" s="32" t="s">
        <v>47</v>
      </c>
      <c r="F59" s="33">
        <v>282904</v>
      </c>
      <c r="G59" s="34">
        <v>2429.86</v>
      </c>
      <c r="H59" s="34">
        <v>0.27</v>
      </c>
      <c r="I59" s="35"/>
      <c r="J59" s="35"/>
      <c r="K59" s="36"/>
    </row>
    <row r="60" spans="2:11" x14ac:dyDescent="0.35">
      <c r="B60" s="1" t="s">
        <v>193</v>
      </c>
      <c r="C60" s="21" t="s">
        <v>194</v>
      </c>
      <c r="D60" s="31" t="s">
        <v>195</v>
      </c>
      <c r="E60" s="32" t="s">
        <v>20</v>
      </c>
      <c r="F60" s="33">
        <v>3465000</v>
      </c>
      <c r="G60" s="34">
        <v>2325.36</v>
      </c>
      <c r="H60" s="34">
        <v>0.26</v>
      </c>
      <c r="I60" s="35"/>
      <c r="J60" s="35"/>
      <c r="K60" s="36"/>
    </row>
    <row r="61" spans="2:11" x14ac:dyDescent="0.35">
      <c r="B61" s="1" t="s">
        <v>196</v>
      </c>
      <c r="C61" s="21" t="s">
        <v>197</v>
      </c>
      <c r="D61" s="31" t="s">
        <v>198</v>
      </c>
      <c r="E61" s="32" t="s">
        <v>199</v>
      </c>
      <c r="F61" s="33">
        <v>500000</v>
      </c>
      <c r="G61" s="34">
        <v>1619.75</v>
      </c>
      <c r="H61" s="34">
        <v>0.18</v>
      </c>
      <c r="I61" s="35"/>
      <c r="J61" s="35"/>
      <c r="K61" s="36"/>
    </row>
    <row r="62" spans="2:11" x14ac:dyDescent="0.35">
      <c r="B62" s="1" t="s">
        <v>200</v>
      </c>
      <c r="C62" s="21" t="s">
        <v>201</v>
      </c>
      <c r="D62" s="31" t="s">
        <v>202</v>
      </c>
      <c r="E62" s="32" t="s">
        <v>133</v>
      </c>
      <c r="F62" s="33">
        <v>677027</v>
      </c>
      <c r="G62" s="34">
        <v>1235.57</v>
      </c>
      <c r="H62" s="34">
        <v>0.14000000000000001</v>
      </c>
      <c r="I62" s="35"/>
      <c r="J62" s="35"/>
      <c r="K62" s="36"/>
    </row>
    <row r="63" spans="2:11" x14ac:dyDescent="0.35">
      <c r="B63" s="1" t="s">
        <v>203</v>
      </c>
      <c r="C63" s="21" t="s">
        <v>204</v>
      </c>
      <c r="D63" s="31" t="s">
        <v>205</v>
      </c>
      <c r="E63" s="32" t="s">
        <v>206</v>
      </c>
      <c r="F63" s="33">
        <v>75000</v>
      </c>
      <c r="G63" s="34">
        <v>727.58</v>
      </c>
      <c r="H63" s="34">
        <v>0.08</v>
      </c>
      <c r="I63" s="35"/>
      <c r="J63" s="35"/>
      <c r="K63" s="36"/>
    </row>
    <row r="64" spans="2:11" x14ac:dyDescent="0.35">
      <c r="B64" s="1" t="s">
        <v>207</v>
      </c>
      <c r="C64" s="21" t="s">
        <v>208</v>
      </c>
      <c r="D64" s="31" t="s">
        <v>209</v>
      </c>
      <c r="E64" s="32" t="s">
        <v>140</v>
      </c>
      <c r="F64" s="33">
        <v>22541</v>
      </c>
      <c r="G64" s="34">
        <v>79.84</v>
      </c>
      <c r="H64" s="34">
        <v>0.01</v>
      </c>
      <c r="I64" s="35"/>
      <c r="J64" s="35"/>
      <c r="K64" s="36"/>
    </row>
    <row r="65" spans="2:11" x14ac:dyDescent="0.35">
      <c r="C65" s="30" t="s">
        <v>210</v>
      </c>
      <c r="D65" s="31"/>
      <c r="E65" s="32"/>
      <c r="F65" s="33"/>
      <c r="G65" s="38">
        <f>SUM(XDO_?FINAL_MV?170?)</f>
        <v>400841.42</v>
      </c>
      <c r="H65" s="38">
        <f>SUM(XDO_?FINAL_PER_NET?170?)</f>
        <v>44.829999999999977</v>
      </c>
      <c r="I65" s="35"/>
      <c r="J65" s="35"/>
      <c r="K65" s="36"/>
    </row>
    <row r="66" spans="2:11" x14ac:dyDescent="0.35">
      <c r="C66" s="21"/>
      <c r="D66" s="31"/>
      <c r="E66" s="32"/>
      <c r="F66" s="33"/>
      <c r="G66" s="34"/>
      <c r="H66" s="34"/>
      <c r="I66" s="35"/>
      <c r="J66" s="35"/>
      <c r="K66" s="36"/>
    </row>
    <row r="67" spans="2:11" x14ac:dyDescent="0.35">
      <c r="C67" s="30" t="s">
        <v>211</v>
      </c>
      <c r="D67" s="31"/>
      <c r="E67" s="32"/>
      <c r="F67" s="33"/>
      <c r="G67" s="34" t="s">
        <v>212</v>
      </c>
      <c r="H67" s="34" t="s">
        <v>212</v>
      </c>
      <c r="I67" s="35"/>
      <c r="J67" s="35"/>
      <c r="K67" s="36"/>
    </row>
    <row r="68" spans="2:11" x14ac:dyDescent="0.3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5">
      <c r="C69" s="30" t="s">
        <v>213</v>
      </c>
      <c r="D69" s="31"/>
      <c r="E69" s="32"/>
      <c r="F69" s="33"/>
      <c r="G69" s="34" t="s">
        <v>212</v>
      </c>
      <c r="H69" s="34" t="s">
        <v>212</v>
      </c>
      <c r="I69" s="35"/>
      <c r="J69" s="35"/>
      <c r="K69" s="36"/>
    </row>
    <row r="70" spans="2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5">
      <c r="C71" s="37" t="s">
        <v>214</v>
      </c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B72" s="1" t="s">
        <v>215</v>
      </c>
      <c r="C72" s="21" t="s">
        <v>216</v>
      </c>
      <c r="D72" s="31" t="s">
        <v>217</v>
      </c>
      <c r="E72" s="32" t="s">
        <v>218</v>
      </c>
      <c r="F72" s="33">
        <v>2600000</v>
      </c>
      <c r="G72" s="34">
        <v>3315</v>
      </c>
      <c r="H72" s="34">
        <v>0.37</v>
      </c>
      <c r="I72" s="35"/>
      <c r="J72" s="35"/>
      <c r="K72" s="36"/>
    </row>
    <row r="73" spans="2:11" x14ac:dyDescent="0.35">
      <c r="C73" s="30" t="s">
        <v>210</v>
      </c>
      <c r="D73" s="31"/>
      <c r="E73" s="32"/>
      <c r="F73" s="33"/>
      <c r="G73" s="38">
        <v>3315</v>
      </c>
      <c r="H73" s="38">
        <v>0.37</v>
      </c>
      <c r="I73" s="35"/>
      <c r="J73" s="35"/>
      <c r="K73" s="36"/>
    </row>
    <row r="74" spans="2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37" t="s">
        <v>219</v>
      </c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B76" s="1" t="s">
        <v>220</v>
      </c>
      <c r="C76" s="21" t="s">
        <v>221</v>
      </c>
      <c r="D76" s="31" t="s">
        <v>222</v>
      </c>
      <c r="E76" s="32" t="s">
        <v>163</v>
      </c>
      <c r="F76" s="33">
        <v>7664234</v>
      </c>
      <c r="G76" s="34">
        <v>24136.21</v>
      </c>
      <c r="H76" s="34">
        <v>2.7</v>
      </c>
      <c r="I76" s="35"/>
      <c r="J76" s="35"/>
      <c r="K76" s="36"/>
    </row>
    <row r="77" spans="2:11" x14ac:dyDescent="0.35">
      <c r="B77" s="1" t="s">
        <v>223</v>
      </c>
      <c r="C77" s="21" t="s">
        <v>224</v>
      </c>
      <c r="D77" s="31" t="s">
        <v>225</v>
      </c>
      <c r="E77" s="32" t="s">
        <v>163</v>
      </c>
      <c r="F77" s="33">
        <v>4900000</v>
      </c>
      <c r="G77" s="34">
        <v>19085.5</v>
      </c>
      <c r="H77" s="34">
        <v>2.13</v>
      </c>
      <c r="I77" s="35"/>
      <c r="J77" s="35"/>
      <c r="K77" s="36"/>
    </row>
    <row r="78" spans="2:11" x14ac:dyDescent="0.35">
      <c r="C78" s="30" t="s">
        <v>210</v>
      </c>
      <c r="D78" s="31"/>
      <c r="E78" s="32"/>
      <c r="F78" s="33"/>
      <c r="G78" s="38">
        <v>43221.71</v>
      </c>
      <c r="H78" s="38">
        <v>4.83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7" t="s">
        <v>226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B81" s="1" t="s">
        <v>227</v>
      </c>
      <c r="C81" s="21" t="s">
        <v>228</v>
      </c>
      <c r="D81" s="31" t="s">
        <v>229</v>
      </c>
      <c r="E81" s="32" t="s">
        <v>55</v>
      </c>
      <c r="F81" s="33">
        <v>6000</v>
      </c>
      <c r="G81" s="34">
        <v>6898.34</v>
      </c>
      <c r="H81" s="34">
        <v>0.77</v>
      </c>
      <c r="I81" s="35">
        <v>7.2549999999999999</v>
      </c>
      <c r="J81" s="35"/>
      <c r="K81" s="36" t="s">
        <v>230</v>
      </c>
    </row>
    <row r="82" spans="1:11" x14ac:dyDescent="0.35">
      <c r="C82" s="30" t="s">
        <v>210</v>
      </c>
      <c r="D82" s="31"/>
      <c r="E82" s="32"/>
      <c r="F82" s="33"/>
      <c r="G82" s="38">
        <v>6898.34</v>
      </c>
      <c r="H82" s="38">
        <v>0.77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A84" s="28"/>
      <c r="B84" s="29"/>
      <c r="C84" s="30" t="s">
        <v>231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37" t="s">
        <v>232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B86" s="1" t="s">
        <v>233</v>
      </c>
      <c r="C86" s="21" t="s">
        <v>234</v>
      </c>
      <c r="D86" s="31" t="s">
        <v>235</v>
      </c>
      <c r="E86" s="32" t="s">
        <v>236</v>
      </c>
      <c r="F86" s="33">
        <v>20000</v>
      </c>
      <c r="G86" s="34">
        <v>20731.599999999999</v>
      </c>
      <c r="H86" s="34">
        <v>2.3199999999999998</v>
      </c>
      <c r="I86" s="35">
        <v>7.7074999999999996</v>
      </c>
      <c r="J86" s="35"/>
      <c r="K86" s="36" t="s">
        <v>230</v>
      </c>
    </row>
    <row r="87" spans="1:11" x14ac:dyDescent="0.35">
      <c r="B87" s="1" t="s">
        <v>237</v>
      </c>
      <c r="C87" s="21" t="s">
        <v>238</v>
      </c>
      <c r="D87" s="31" t="s">
        <v>239</v>
      </c>
      <c r="E87" s="32" t="s">
        <v>240</v>
      </c>
      <c r="F87" s="33">
        <v>20000</v>
      </c>
      <c r="G87" s="34">
        <v>20472.259999999998</v>
      </c>
      <c r="H87" s="34">
        <v>2.29</v>
      </c>
      <c r="I87" s="35">
        <v>7.4789000000000003</v>
      </c>
      <c r="J87" s="35"/>
      <c r="K87" s="36" t="s">
        <v>230</v>
      </c>
    </row>
    <row r="88" spans="1:11" x14ac:dyDescent="0.35">
      <c r="B88" s="1" t="s">
        <v>241</v>
      </c>
      <c r="C88" s="21" t="s">
        <v>242</v>
      </c>
      <c r="D88" s="31" t="s">
        <v>243</v>
      </c>
      <c r="E88" s="32" t="s">
        <v>244</v>
      </c>
      <c r="F88" s="33">
        <v>20000</v>
      </c>
      <c r="G88" s="34">
        <v>20446.580000000002</v>
      </c>
      <c r="H88" s="34">
        <v>2.29</v>
      </c>
      <c r="I88" s="35">
        <v>7.4499000000000004</v>
      </c>
      <c r="J88" s="35"/>
      <c r="K88" s="36" t="s">
        <v>230</v>
      </c>
    </row>
    <row r="89" spans="1:11" x14ac:dyDescent="0.35">
      <c r="B89" s="1" t="s">
        <v>245</v>
      </c>
      <c r="C89" s="21" t="s">
        <v>228</v>
      </c>
      <c r="D89" s="31" t="s">
        <v>246</v>
      </c>
      <c r="E89" s="32" t="s">
        <v>240</v>
      </c>
      <c r="F89" s="33">
        <v>20000</v>
      </c>
      <c r="G89" s="34">
        <v>20420.86</v>
      </c>
      <c r="H89" s="34">
        <v>2.2799999999999998</v>
      </c>
      <c r="I89" s="35">
        <v>8.6062999999999992</v>
      </c>
      <c r="J89" s="35"/>
      <c r="K89" s="36" t="s">
        <v>230</v>
      </c>
    </row>
    <row r="90" spans="1:11" x14ac:dyDescent="0.35">
      <c r="B90" s="1" t="s">
        <v>247</v>
      </c>
      <c r="C90" s="21" t="s">
        <v>248</v>
      </c>
      <c r="D90" s="31" t="s">
        <v>249</v>
      </c>
      <c r="E90" s="32" t="s">
        <v>250</v>
      </c>
      <c r="F90" s="33">
        <v>16000</v>
      </c>
      <c r="G90" s="34">
        <v>16183.46</v>
      </c>
      <c r="H90" s="34">
        <v>1.81</v>
      </c>
      <c r="I90" s="35">
        <v>7.31</v>
      </c>
      <c r="J90" s="35"/>
      <c r="K90" s="36" t="s">
        <v>230</v>
      </c>
    </row>
    <row r="91" spans="1:11" x14ac:dyDescent="0.35">
      <c r="B91" s="1" t="s">
        <v>251</v>
      </c>
      <c r="C91" s="21" t="s">
        <v>252</v>
      </c>
      <c r="D91" s="31" t="s">
        <v>253</v>
      </c>
      <c r="E91" s="32" t="s">
        <v>254</v>
      </c>
      <c r="F91" s="33">
        <v>15000</v>
      </c>
      <c r="G91" s="34">
        <v>15149.6</v>
      </c>
      <c r="H91" s="34">
        <v>1.69</v>
      </c>
      <c r="I91" s="35">
        <v>7.3524000000000003</v>
      </c>
      <c r="J91" s="35"/>
      <c r="K91" s="36" t="s">
        <v>230</v>
      </c>
    </row>
    <row r="92" spans="1:11" x14ac:dyDescent="0.35">
      <c r="B92" s="1" t="s">
        <v>255</v>
      </c>
      <c r="C92" s="21" t="s">
        <v>256</v>
      </c>
      <c r="D92" s="31" t="s">
        <v>257</v>
      </c>
      <c r="E92" s="32" t="s">
        <v>236</v>
      </c>
      <c r="F92" s="33">
        <v>15000</v>
      </c>
      <c r="G92" s="34">
        <v>15106.86</v>
      </c>
      <c r="H92" s="34">
        <v>1.69</v>
      </c>
      <c r="I92" s="35">
        <v>8.1189</v>
      </c>
      <c r="J92" s="35"/>
      <c r="K92" s="36" t="s">
        <v>230</v>
      </c>
    </row>
    <row r="93" spans="1:11" x14ac:dyDescent="0.35">
      <c r="B93" s="1" t="s">
        <v>258</v>
      </c>
      <c r="C93" s="21" t="s">
        <v>259</v>
      </c>
      <c r="D93" s="31" t="s">
        <v>260</v>
      </c>
      <c r="E93" s="32" t="s">
        <v>250</v>
      </c>
      <c r="F93" s="33">
        <v>15000</v>
      </c>
      <c r="G93" s="34">
        <v>15075.12</v>
      </c>
      <c r="H93" s="34">
        <v>1.69</v>
      </c>
      <c r="I93" s="35">
        <v>9.0549999999999997</v>
      </c>
      <c r="J93" s="35"/>
      <c r="K93" s="36" t="s">
        <v>230</v>
      </c>
    </row>
    <row r="94" spans="1:11" x14ac:dyDescent="0.35">
      <c r="B94" s="1" t="s">
        <v>261</v>
      </c>
      <c r="C94" s="21" t="s">
        <v>262</v>
      </c>
      <c r="D94" s="31" t="s">
        <v>263</v>
      </c>
      <c r="E94" s="32" t="s">
        <v>264</v>
      </c>
      <c r="F94" s="33">
        <v>12500</v>
      </c>
      <c r="G94" s="34">
        <v>12499.65</v>
      </c>
      <c r="H94" s="34">
        <v>1.4</v>
      </c>
      <c r="I94" s="35">
        <v>8.3452999999999999</v>
      </c>
      <c r="J94" s="35"/>
      <c r="K94" s="36" t="s">
        <v>230</v>
      </c>
    </row>
    <row r="95" spans="1:11" x14ac:dyDescent="0.35">
      <c r="B95" s="1" t="s">
        <v>265</v>
      </c>
      <c r="C95" s="21" t="s">
        <v>266</v>
      </c>
      <c r="D95" s="31" t="s">
        <v>267</v>
      </c>
      <c r="E95" s="32" t="s">
        <v>254</v>
      </c>
      <c r="F95" s="33">
        <v>100</v>
      </c>
      <c r="G95" s="34">
        <v>10267.870000000001</v>
      </c>
      <c r="H95" s="34">
        <v>1.1499999999999999</v>
      </c>
      <c r="I95" s="35">
        <v>7.1001000000000003</v>
      </c>
      <c r="J95" s="35">
        <v>7.0065671649999999</v>
      </c>
      <c r="K95" s="36"/>
    </row>
    <row r="96" spans="1:11" x14ac:dyDescent="0.35">
      <c r="B96" s="1" t="s">
        <v>268</v>
      </c>
      <c r="C96" s="21" t="s">
        <v>269</v>
      </c>
      <c r="D96" s="31" t="s">
        <v>270</v>
      </c>
      <c r="E96" s="32" t="s">
        <v>236</v>
      </c>
      <c r="F96" s="33">
        <v>10000</v>
      </c>
      <c r="G96" s="34">
        <v>10160.82</v>
      </c>
      <c r="H96" s="34">
        <v>1.1399999999999999</v>
      </c>
      <c r="I96" s="35">
        <v>7.45</v>
      </c>
      <c r="J96" s="35"/>
      <c r="K96" s="36" t="s">
        <v>230</v>
      </c>
    </row>
    <row r="97" spans="2:11" x14ac:dyDescent="0.35">
      <c r="B97" s="1" t="s">
        <v>271</v>
      </c>
      <c r="C97" s="21" t="s">
        <v>272</v>
      </c>
      <c r="D97" s="31" t="s">
        <v>273</v>
      </c>
      <c r="E97" s="32" t="s">
        <v>250</v>
      </c>
      <c r="F97" s="33">
        <v>10000</v>
      </c>
      <c r="G97" s="34">
        <v>9963.02</v>
      </c>
      <c r="H97" s="34">
        <v>1.1100000000000001</v>
      </c>
      <c r="I97" s="35">
        <v>9.6146999999999991</v>
      </c>
      <c r="J97" s="35"/>
      <c r="K97" s="36" t="s">
        <v>230</v>
      </c>
    </row>
    <row r="98" spans="2:11" x14ac:dyDescent="0.35">
      <c r="B98" s="1" t="s">
        <v>274</v>
      </c>
      <c r="C98" s="21" t="s">
        <v>275</v>
      </c>
      <c r="D98" s="31" t="s">
        <v>276</v>
      </c>
      <c r="E98" s="32" t="s">
        <v>277</v>
      </c>
      <c r="F98" s="33">
        <v>9000</v>
      </c>
      <c r="G98" s="34">
        <v>9126.08</v>
      </c>
      <c r="H98" s="34">
        <v>1.02</v>
      </c>
      <c r="I98" s="35">
        <v>7.33</v>
      </c>
      <c r="J98" s="35"/>
      <c r="K98" s="36" t="s">
        <v>230</v>
      </c>
    </row>
    <row r="99" spans="2:11" x14ac:dyDescent="0.35">
      <c r="B99" s="1" t="s">
        <v>278</v>
      </c>
      <c r="C99" s="21" t="s">
        <v>228</v>
      </c>
      <c r="D99" s="31" t="s">
        <v>279</v>
      </c>
      <c r="E99" s="32" t="s">
        <v>240</v>
      </c>
      <c r="F99" s="33">
        <v>7500</v>
      </c>
      <c r="G99" s="34">
        <v>7636.21</v>
      </c>
      <c r="H99" s="34">
        <v>0.85</v>
      </c>
      <c r="I99" s="35">
        <v>7.48</v>
      </c>
      <c r="J99" s="35"/>
      <c r="K99" s="36" t="s">
        <v>230</v>
      </c>
    </row>
    <row r="100" spans="2:11" x14ac:dyDescent="0.35">
      <c r="B100" s="1" t="s">
        <v>280</v>
      </c>
      <c r="C100" s="21" t="s">
        <v>256</v>
      </c>
      <c r="D100" s="31" t="s">
        <v>281</v>
      </c>
      <c r="E100" s="32" t="s">
        <v>236</v>
      </c>
      <c r="F100" s="33">
        <v>7500</v>
      </c>
      <c r="G100" s="34">
        <v>7598.12</v>
      </c>
      <c r="H100" s="34">
        <v>0.85</v>
      </c>
      <c r="I100" s="35">
        <v>7.9850000000000003</v>
      </c>
      <c r="J100" s="35"/>
      <c r="K100" s="36" t="s">
        <v>230</v>
      </c>
    </row>
    <row r="101" spans="2:11" x14ac:dyDescent="0.35">
      <c r="B101" s="1" t="s">
        <v>282</v>
      </c>
      <c r="C101" s="21" t="s">
        <v>283</v>
      </c>
      <c r="D101" s="31" t="s">
        <v>284</v>
      </c>
      <c r="E101" s="32" t="s">
        <v>254</v>
      </c>
      <c r="F101" s="33">
        <v>5000</v>
      </c>
      <c r="G101" s="34">
        <v>5082.83</v>
      </c>
      <c r="H101" s="34">
        <v>0.56999999999999995</v>
      </c>
      <c r="I101" s="35">
        <v>7.24</v>
      </c>
      <c r="J101" s="35"/>
      <c r="K101" s="36" t="s">
        <v>230</v>
      </c>
    </row>
    <row r="102" spans="2:11" x14ac:dyDescent="0.35">
      <c r="B102" s="1" t="s">
        <v>285</v>
      </c>
      <c r="C102" s="21" t="s">
        <v>286</v>
      </c>
      <c r="D102" s="31" t="s">
        <v>287</v>
      </c>
      <c r="E102" s="32" t="s">
        <v>254</v>
      </c>
      <c r="F102" s="33">
        <v>5000</v>
      </c>
      <c r="G102" s="34">
        <v>5066.55</v>
      </c>
      <c r="H102" s="34">
        <v>0.56999999999999995</v>
      </c>
      <c r="I102" s="35">
        <v>7.3550000000000004</v>
      </c>
      <c r="J102" s="35"/>
      <c r="K102" s="36" t="s">
        <v>230</v>
      </c>
    </row>
    <row r="103" spans="2:11" x14ac:dyDescent="0.35">
      <c r="B103" s="1" t="s">
        <v>288</v>
      </c>
      <c r="C103" s="21" t="s">
        <v>289</v>
      </c>
      <c r="D103" s="31" t="s">
        <v>290</v>
      </c>
      <c r="E103" s="32" t="s">
        <v>291</v>
      </c>
      <c r="F103" s="33">
        <v>5000</v>
      </c>
      <c r="G103" s="34">
        <v>5060.91</v>
      </c>
      <c r="H103" s="34">
        <v>0.56999999999999995</v>
      </c>
      <c r="I103" s="35">
        <v>8.5195000000000007</v>
      </c>
      <c r="J103" s="35"/>
      <c r="K103" s="36" t="s">
        <v>230</v>
      </c>
    </row>
    <row r="104" spans="2:11" x14ac:dyDescent="0.35">
      <c r="B104" s="1" t="s">
        <v>292</v>
      </c>
      <c r="C104" s="21" t="s">
        <v>293</v>
      </c>
      <c r="D104" s="31" t="s">
        <v>294</v>
      </c>
      <c r="E104" s="32" t="s">
        <v>295</v>
      </c>
      <c r="F104" s="33">
        <v>5000</v>
      </c>
      <c r="G104" s="34">
        <v>5041.34</v>
      </c>
      <c r="H104" s="34">
        <v>0.56000000000000005</v>
      </c>
      <c r="I104" s="35">
        <v>8.5115999999999996</v>
      </c>
      <c r="J104" s="35"/>
      <c r="K104" s="36" t="s">
        <v>230</v>
      </c>
    </row>
    <row r="105" spans="2:11" x14ac:dyDescent="0.35">
      <c r="B105" s="1" t="s">
        <v>296</v>
      </c>
      <c r="C105" s="21" t="s">
        <v>297</v>
      </c>
      <c r="D105" s="31" t="s">
        <v>298</v>
      </c>
      <c r="E105" s="32" t="s">
        <v>254</v>
      </c>
      <c r="F105" s="33">
        <v>5000</v>
      </c>
      <c r="G105" s="34">
        <v>5018.8500000000004</v>
      </c>
      <c r="H105" s="34">
        <v>0.56000000000000005</v>
      </c>
      <c r="I105" s="35">
        <v>7.4375</v>
      </c>
      <c r="J105" s="35"/>
      <c r="K105" s="36" t="s">
        <v>230</v>
      </c>
    </row>
    <row r="106" spans="2:11" x14ac:dyDescent="0.35">
      <c r="B106" s="1" t="s">
        <v>299</v>
      </c>
      <c r="C106" s="21" t="s">
        <v>300</v>
      </c>
      <c r="D106" s="31" t="s">
        <v>301</v>
      </c>
      <c r="E106" s="32" t="s">
        <v>236</v>
      </c>
      <c r="F106" s="33">
        <v>4000</v>
      </c>
      <c r="G106" s="34">
        <v>4069.9</v>
      </c>
      <c r="H106" s="34">
        <v>0.46</v>
      </c>
      <c r="I106" s="35">
        <v>7.12</v>
      </c>
      <c r="J106" s="35"/>
      <c r="K106" s="36" t="s">
        <v>230</v>
      </c>
    </row>
    <row r="107" spans="2:11" x14ac:dyDescent="0.35">
      <c r="B107" s="1" t="s">
        <v>302</v>
      </c>
      <c r="C107" s="21" t="s">
        <v>272</v>
      </c>
      <c r="D107" s="31" t="s">
        <v>303</v>
      </c>
      <c r="E107" s="32" t="s">
        <v>295</v>
      </c>
      <c r="F107" s="33">
        <v>3000</v>
      </c>
      <c r="G107" s="34">
        <v>3010.27</v>
      </c>
      <c r="H107" s="34">
        <v>0.34</v>
      </c>
      <c r="I107" s="35">
        <v>8.7248999999999999</v>
      </c>
      <c r="J107" s="35"/>
      <c r="K107" s="36" t="s">
        <v>230</v>
      </c>
    </row>
    <row r="108" spans="2:11" x14ac:dyDescent="0.35">
      <c r="B108" s="1" t="s">
        <v>304</v>
      </c>
      <c r="C108" s="21" t="s">
        <v>305</v>
      </c>
      <c r="D108" s="31" t="s">
        <v>306</v>
      </c>
      <c r="E108" s="32" t="s">
        <v>254</v>
      </c>
      <c r="F108" s="33">
        <v>2500</v>
      </c>
      <c r="G108" s="34">
        <v>2593.4299999999998</v>
      </c>
      <c r="H108" s="34">
        <v>0.28999999999999998</v>
      </c>
      <c r="I108" s="35">
        <v>7.6406999999999998</v>
      </c>
      <c r="J108" s="35"/>
      <c r="K108" s="36" t="s">
        <v>230</v>
      </c>
    </row>
    <row r="109" spans="2:11" x14ac:dyDescent="0.35">
      <c r="B109" s="1" t="s">
        <v>307</v>
      </c>
      <c r="C109" s="21" t="s">
        <v>283</v>
      </c>
      <c r="D109" s="31" t="s">
        <v>308</v>
      </c>
      <c r="E109" s="32" t="s">
        <v>254</v>
      </c>
      <c r="F109" s="33">
        <v>2500</v>
      </c>
      <c r="G109" s="34">
        <v>2559.42</v>
      </c>
      <c r="H109" s="34">
        <v>0.28999999999999998</v>
      </c>
      <c r="I109" s="35">
        <v>7.62</v>
      </c>
      <c r="J109" s="35"/>
      <c r="K109" s="36" t="s">
        <v>230</v>
      </c>
    </row>
    <row r="110" spans="2:11" x14ac:dyDescent="0.35">
      <c r="B110" s="1" t="s">
        <v>309</v>
      </c>
      <c r="C110" s="21" t="s">
        <v>259</v>
      </c>
      <c r="D110" s="31" t="s">
        <v>310</v>
      </c>
      <c r="E110" s="32" t="s">
        <v>250</v>
      </c>
      <c r="F110" s="33">
        <v>2500</v>
      </c>
      <c r="G110" s="34">
        <v>2515.37</v>
      </c>
      <c r="H110" s="34">
        <v>0.28000000000000003</v>
      </c>
      <c r="I110" s="35">
        <v>9</v>
      </c>
      <c r="J110" s="35"/>
      <c r="K110" s="36" t="s">
        <v>230</v>
      </c>
    </row>
    <row r="111" spans="2:11" x14ac:dyDescent="0.35">
      <c r="B111" s="1" t="s">
        <v>311</v>
      </c>
      <c r="C111" s="21" t="s">
        <v>312</v>
      </c>
      <c r="D111" s="31" t="s">
        <v>313</v>
      </c>
      <c r="E111" s="32" t="s">
        <v>291</v>
      </c>
      <c r="F111" s="33">
        <v>2400</v>
      </c>
      <c r="G111" s="34">
        <v>2423.7800000000002</v>
      </c>
      <c r="H111" s="34">
        <v>0.27</v>
      </c>
      <c r="I111" s="35">
        <v>7.8731</v>
      </c>
      <c r="J111" s="35"/>
      <c r="K111" s="36" t="s">
        <v>230</v>
      </c>
    </row>
    <row r="112" spans="2:11" x14ac:dyDescent="0.35">
      <c r="B112" s="1" t="s">
        <v>314</v>
      </c>
      <c r="C112" s="21" t="s">
        <v>315</v>
      </c>
      <c r="D112" s="31" t="s">
        <v>316</v>
      </c>
      <c r="E112" s="32" t="s">
        <v>277</v>
      </c>
      <c r="F112" s="33">
        <v>2300</v>
      </c>
      <c r="G112" s="34">
        <v>2319.9699999999998</v>
      </c>
      <c r="H112" s="34">
        <v>0.26</v>
      </c>
      <c r="I112" s="35">
        <v>7.4050000000000002</v>
      </c>
      <c r="J112" s="35"/>
      <c r="K112" s="36" t="s">
        <v>230</v>
      </c>
    </row>
    <row r="113" spans="2:11" x14ac:dyDescent="0.35">
      <c r="B113" s="1" t="s">
        <v>317</v>
      </c>
      <c r="C113" s="21" t="s">
        <v>256</v>
      </c>
      <c r="D113" s="31" t="s">
        <v>318</v>
      </c>
      <c r="E113" s="32" t="s">
        <v>236</v>
      </c>
      <c r="F113" s="33">
        <v>1500</v>
      </c>
      <c r="G113" s="34">
        <v>1507.46</v>
      </c>
      <c r="H113" s="34">
        <v>0.17</v>
      </c>
      <c r="I113" s="35">
        <v>7.3449999999999998</v>
      </c>
      <c r="J113" s="35"/>
      <c r="K113" s="36" t="s">
        <v>230</v>
      </c>
    </row>
    <row r="114" spans="2:11" x14ac:dyDescent="0.35">
      <c r="C114" s="30" t="s">
        <v>210</v>
      </c>
      <c r="D114" s="31"/>
      <c r="E114" s="32"/>
      <c r="F114" s="33"/>
      <c r="G114" s="38">
        <v>257108.19</v>
      </c>
      <c r="H114" s="38">
        <v>28.77</v>
      </c>
      <c r="I114" s="35"/>
      <c r="J114" s="35"/>
      <c r="K114" s="36"/>
    </row>
    <row r="115" spans="2:11" x14ac:dyDescent="0.3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x14ac:dyDescent="0.35">
      <c r="C116" s="30" t="s">
        <v>319</v>
      </c>
      <c r="D116" s="31"/>
      <c r="E116" s="32"/>
      <c r="F116" s="33"/>
      <c r="G116" s="34" t="s">
        <v>212</v>
      </c>
      <c r="H116" s="34" t="s">
        <v>212</v>
      </c>
      <c r="I116" s="35"/>
      <c r="J116" s="35"/>
      <c r="K116" s="36"/>
    </row>
    <row r="117" spans="2:11" x14ac:dyDescent="0.35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2:11" x14ac:dyDescent="0.35">
      <c r="C118" s="30" t="s">
        <v>320</v>
      </c>
      <c r="D118" s="31"/>
      <c r="E118" s="32"/>
      <c r="F118" s="33"/>
      <c r="G118" s="34" t="s">
        <v>212</v>
      </c>
      <c r="H118" s="34" t="s">
        <v>212</v>
      </c>
      <c r="I118" s="35"/>
      <c r="J118" s="35"/>
      <c r="K118" s="36"/>
    </row>
    <row r="119" spans="2:11" x14ac:dyDescent="0.35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2:11" x14ac:dyDescent="0.35">
      <c r="C120" s="37" t="s">
        <v>321</v>
      </c>
      <c r="D120" s="31"/>
      <c r="E120" s="32"/>
      <c r="F120" s="33"/>
      <c r="G120" s="34"/>
      <c r="H120" s="34"/>
      <c r="I120" s="35"/>
      <c r="J120" s="35"/>
      <c r="K120" s="36"/>
    </row>
    <row r="121" spans="2:11" x14ac:dyDescent="0.35">
      <c r="B121" s="1" t="s">
        <v>322</v>
      </c>
      <c r="C121" s="21" t="s">
        <v>323</v>
      </c>
      <c r="D121" s="31" t="s">
        <v>324</v>
      </c>
      <c r="E121" s="32" t="s">
        <v>325</v>
      </c>
      <c r="F121" s="33">
        <v>5000000</v>
      </c>
      <c r="G121" s="34">
        <v>5022.91</v>
      </c>
      <c r="H121" s="34">
        <v>0.56000000000000005</v>
      </c>
      <c r="I121" s="35">
        <v>7.1762581000000001</v>
      </c>
      <c r="J121" s="35"/>
      <c r="K121" s="36"/>
    </row>
    <row r="122" spans="2:11" x14ac:dyDescent="0.35">
      <c r="B122" s="1" t="s">
        <v>326</v>
      </c>
      <c r="C122" s="21" t="s">
        <v>327</v>
      </c>
      <c r="D122" s="31" t="s">
        <v>328</v>
      </c>
      <c r="E122" s="32" t="s">
        <v>325</v>
      </c>
      <c r="F122" s="33">
        <v>2500000</v>
      </c>
      <c r="G122" s="34">
        <v>2575.1</v>
      </c>
      <c r="H122" s="34">
        <v>0.28999999999999998</v>
      </c>
      <c r="I122" s="35">
        <v>7.2364918999999999</v>
      </c>
      <c r="J122" s="35"/>
      <c r="K122" s="36"/>
    </row>
    <row r="123" spans="2:11" x14ac:dyDescent="0.35">
      <c r="B123" s="1" t="s">
        <v>329</v>
      </c>
      <c r="C123" s="21" t="s">
        <v>330</v>
      </c>
      <c r="D123" s="31" t="s">
        <v>331</v>
      </c>
      <c r="E123" s="32" t="s">
        <v>325</v>
      </c>
      <c r="F123" s="33">
        <v>2500000</v>
      </c>
      <c r="G123" s="34">
        <v>2570.48</v>
      </c>
      <c r="H123" s="34">
        <v>0.28999999999999998</v>
      </c>
      <c r="I123" s="35">
        <v>6.4821853000000003</v>
      </c>
      <c r="J123" s="35"/>
      <c r="K123" s="36"/>
    </row>
    <row r="124" spans="2:11" x14ac:dyDescent="0.35">
      <c r="C124" s="30" t="s">
        <v>210</v>
      </c>
      <c r="D124" s="31"/>
      <c r="E124" s="32"/>
      <c r="F124" s="33"/>
      <c r="G124" s="38">
        <v>10168.49</v>
      </c>
      <c r="H124" s="38">
        <v>1.1399999999999999</v>
      </c>
      <c r="I124" s="35"/>
      <c r="J124" s="35"/>
      <c r="K124" s="36"/>
    </row>
    <row r="125" spans="2:11" x14ac:dyDescent="0.35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2:11" x14ac:dyDescent="0.35">
      <c r="C126" s="37" t="s">
        <v>332</v>
      </c>
      <c r="D126" s="31"/>
      <c r="E126" s="32"/>
      <c r="F126" s="33"/>
      <c r="G126" s="34"/>
      <c r="H126" s="34"/>
      <c r="I126" s="35"/>
      <c r="J126" s="35"/>
      <c r="K126" s="36"/>
    </row>
    <row r="127" spans="2:11" x14ac:dyDescent="0.35">
      <c r="B127" s="1" t="s">
        <v>333</v>
      </c>
      <c r="C127" s="21" t="s">
        <v>334</v>
      </c>
      <c r="D127" s="31" t="s">
        <v>335</v>
      </c>
      <c r="E127" s="32" t="s">
        <v>325</v>
      </c>
      <c r="F127" s="33">
        <v>13000000</v>
      </c>
      <c r="G127" s="34">
        <v>13026.55</v>
      </c>
      <c r="H127" s="34">
        <v>1.46</v>
      </c>
      <c r="I127" s="35">
        <v>7.2045634999999999</v>
      </c>
      <c r="J127" s="35"/>
      <c r="K127" s="36"/>
    </row>
    <row r="128" spans="2:11" x14ac:dyDescent="0.35">
      <c r="C128" s="30" t="s">
        <v>210</v>
      </c>
      <c r="D128" s="31"/>
      <c r="E128" s="32"/>
      <c r="F128" s="33"/>
      <c r="G128" s="38">
        <v>13026.55</v>
      </c>
      <c r="H128" s="38">
        <v>1.46</v>
      </c>
      <c r="I128" s="35"/>
      <c r="J128" s="35"/>
      <c r="K128" s="36"/>
    </row>
    <row r="129" spans="1:11" x14ac:dyDescent="0.35">
      <c r="C129" s="21"/>
      <c r="D129" s="31"/>
      <c r="E129" s="32"/>
      <c r="F129" s="33"/>
      <c r="G129" s="34"/>
      <c r="H129" s="34"/>
      <c r="I129" s="35"/>
      <c r="J129" s="35"/>
      <c r="K129" s="36"/>
    </row>
    <row r="130" spans="1:11" x14ac:dyDescent="0.35">
      <c r="A130" s="28"/>
      <c r="B130" s="29"/>
      <c r="C130" s="30" t="s">
        <v>336</v>
      </c>
      <c r="D130" s="31"/>
      <c r="E130" s="32"/>
      <c r="F130" s="33"/>
      <c r="G130" s="34"/>
      <c r="H130" s="34"/>
      <c r="I130" s="35"/>
      <c r="J130" s="35"/>
      <c r="K130" s="36"/>
    </row>
    <row r="131" spans="1:11" x14ac:dyDescent="0.35">
      <c r="A131" s="29"/>
      <c r="B131" s="29"/>
      <c r="C131" s="30" t="s">
        <v>337</v>
      </c>
      <c r="D131" s="31"/>
      <c r="E131" s="32"/>
      <c r="F131" s="33"/>
      <c r="G131" s="34" t="s">
        <v>212</v>
      </c>
      <c r="H131" s="34" t="s">
        <v>212</v>
      </c>
      <c r="I131" s="35"/>
      <c r="J131" s="35"/>
      <c r="K131" s="36"/>
    </row>
    <row r="132" spans="1:11" x14ac:dyDescent="0.35">
      <c r="A132" s="29"/>
      <c r="B132" s="29"/>
      <c r="C132" s="30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5">
      <c r="C133" s="37" t="s">
        <v>338</v>
      </c>
      <c r="D133" s="31"/>
      <c r="E133" s="32"/>
      <c r="F133" s="33"/>
      <c r="G133" s="34"/>
      <c r="H133" s="34"/>
      <c r="I133" s="35"/>
      <c r="J133" s="35"/>
      <c r="K133" s="36"/>
    </row>
    <row r="134" spans="1:11" x14ac:dyDescent="0.35">
      <c r="B134" s="1" t="s">
        <v>339</v>
      </c>
      <c r="C134" s="21" t="s">
        <v>340</v>
      </c>
      <c r="D134" s="31" t="s">
        <v>341</v>
      </c>
      <c r="E134" s="32" t="s">
        <v>342</v>
      </c>
      <c r="F134" s="33">
        <v>2000</v>
      </c>
      <c r="G134" s="34">
        <v>9745.49</v>
      </c>
      <c r="H134" s="34">
        <v>1.0900000000000001</v>
      </c>
      <c r="I134" s="35">
        <v>6.1105</v>
      </c>
      <c r="J134" s="35"/>
      <c r="K134" s="36" t="s">
        <v>230</v>
      </c>
    </row>
    <row r="135" spans="1:11" x14ac:dyDescent="0.35">
      <c r="C135" s="30" t="s">
        <v>210</v>
      </c>
      <c r="D135" s="31"/>
      <c r="E135" s="32"/>
      <c r="F135" s="33"/>
      <c r="G135" s="38">
        <v>9745.49</v>
      </c>
      <c r="H135" s="38">
        <v>1.0900000000000001</v>
      </c>
      <c r="I135" s="35"/>
      <c r="J135" s="35"/>
      <c r="K135" s="36"/>
    </row>
    <row r="136" spans="1:11" x14ac:dyDescent="0.35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C137" s="30" t="s">
        <v>343</v>
      </c>
      <c r="D137" s="31"/>
      <c r="E137" s="32"/>
      <c r="F137" s="33"/>
      <c r="G137" s="34" t="s">
        <v>212</v>
      </c>
      <c r="H137" s="34" t="s">
        <v>212</v>
      </c>
      <c r="I137" s="35"/>
      <c r="J137" s="35"/>
      <c r="K137" s="36"/>
    </row>
    <row r="138" spans="1:11" x14ac:dyDescent="0.35">
      <c r="C138" s="21"/>
      <c r="D138" s="31"/>
      <c r="E138" s="32"/>
      <c r="F138" s="33"/>
      <c r="G138" s="34"/>
      <c r="H138" s="34"/>
      <c r="I138" s="35"/>
      <c r="J138" s="35"/>
      <c r="K138" s="36"/>
    </row>
    <row r="139" spans="1:11" x14ac:dyDescent="0.35">
      <c r="C139" s="30" t="s">
        <v>344</v>
      </c>
      <c r="D139" s="31"/>
      <c r="E139" s="32"/>
      <c r="F139" s="33"/>
      <c r="G139" s="34" t="s">
        <v>212</v>
      </c>
      <c r="H139" s="34" t="s">
        <v>212</v>
      </c>
      <c r="I139" s="35"/>
      <c r="J139" s="35"/>
      <c r="K139" s="36"/>
    </row>
    <row r="140" spans="1:11" x14ac:dyDescent="0.35">
      <c r="C140" s="21"/>
      <c r="D140" s="31"/>
      <c r="E140" s="32"/>
      <c r="F140" s="33"/>
      <c r="G140" s="34"/>
      <c r="H140" s="34"/>
      <c r="I140" s="35"/>
      <c r="J140" s="35"/>
      <c r="K140" s="36"/>
    </row>
    <row r="141" spans="1:11" x14ac:dyDescent="0.35">
      <c r="C141" s="30" t="s">
        <v>345</v>
      </c>
      <c r="D141" s="31"/>
      <c r="E141" s="32"/>
      <c r="F141" s="33"/>
      <c r="G141" s="34" t="s">
        <v>212</v>
      </c>
      <c r="H141" s="34" t="s">
        <v>212</v>
      </c>
      <c r="I141" s="35"/>
      <c r="J141" s="35"/>
      <c r="K141" s="36"/>
    </row>
    <row r="142" spans="1:11" x14ac:dyDescent="0.35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5">
      <c r="A143" s="28"/>
      <c r="B143" s="29"/>
      <c r="C143" s="30" t="s">
        <v>346</v>
      </c>
      <c r="D143" s="31"/>
      <c r="E143" s="32"/>
      <c r="F143" s="33"/>
      <c r="G143" s="34"/>
      <c r="H143" s="34"/>
      <c r="I143" s="35"/>
      <c r="J143" s="35"/>
      <c r="K143" s="36"/>
    </row>
    <row r="144" spans="1:11" x14ac:dyDescent="0.35">
      <c r="C144" s="37" t="s">
        <v>347</v>
      </c>
      <c r="D144" s="31"/>
      <c r="E144" s="32"/>
      <c r="F144" s="33"/>
      <c r="G144" s="34"/>
      <c r="H144" s="34"/>
      <c r="I144" s="35"/>
      <c r="J144" s="35"/>
      <c r="K144" s="36"/>
    </row>
    <row r="145" spans="2:11" x14ac:dyDescent="0.35">
      <c r="B145" s="1" t="s">
        <v>348</v>
      </c>
      <c r="C145" s="21" t="s">
        <v>349</v>
      </c>
      <c r="D145" s="31" t="s">
        <v>350</v>
      </c>
      <c r="E145" s="32" t="s">
        <v>351</v>
      </c>
      <c r="F145" s="33">
        <v>41296178</v>
      </c>
      <c r="G145" s="34">
        <v>43381.63</v>
      </c>
      <c r="H145" s="34">
        <v>4.8499999999999996</v>
      </c>
      <c r="I145" s="35"/>
      <c r="J145" s="35"/>
      <c r="K145" s="36"/>
    </row>
    <row r="146" spans="2:11" x14ac:dyDescent="0.35">
      <c r="B146" s="1" t="s">
        <v>352</v>
      </c>
      <c r="C146" s="21" t="s">
        <v>353</v>
      </c>
      <c r="D146" s="31" t="s">
        <v>354</v>
      </c>
      <c r="E146" s="32" t="s">
        <v>351</v>
      </c>
      <c r="F146" s="33">
        <v>37241000</v>
      </c>
      <c r="G146" s="34">
        <v>30690.31</v>
      </c>
      <c r="H146" s="34">
        <v>3.43</v>
      </c>
      <c r="I146" s="35"/>
      <c r="J146" s="35"/>
      <c r="K146" s="36"/>
    </row>
    <row r="147" spans="2:11" x14ac:dyDescent="0.35">
      <c r="B147" s="1" t="s">
        <v>355</v>
      </c>
      <c r="C147" s="21" t="s">
        <v>356</v>
      </c>
      <c r="D147" s="31" t="s">
        <v>357</v>
      </c>
      <c r="E147" s="32" t="s">
        <v>351</v>
      </c>
      <c r="F147" s="33">
        <v>26730000</v>
      </c>
      <c r="G147" s="34">
        <v>27390.23</v>
      </c>
      <c r="H147" s="34">
        <v>3.06</v>
      </c>
      <c r="I147" s="35"/>
      <c r="J147" s="35"/>
      <c r="K147" s="36"/>
    </row>
    <row r="148" spans="2:11" x14ac:dyDescent="0.35">
      <c r="C148" s="30" t="s">
        <v>210</v>
      </c>
      <c r="D148" s="31"/>
      <c r="E148" s="32"/>
      <c r="F148" s="33"/>
      <c r="G148" s="38">
        <v>101462.17</v>
      </c>
      <c r="H148" s="38">
        <v>11.34</v>
      </c>
      <c r="I148" s="35"/>
      <c r="J148" s="35"/>
      <c r="K148" s="36"/>
    </row>
    <row r="149" spans="2:11" x14ac:dyDescent="0.3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2:11" x14ac:dyDescent="0.35">
      <c r="C150" s="30" t="s">
        <v>358</v>
      </c>
      <c r="D150" s="31"/>
      <c r="E150" s="32"/>
      <c r="F150" s="33"/>
      <c r="G150" s="34" t="s">
        <v>212</v>
      </c>
      <c r="H150" s="34" t="s">
        <v>212</v>
      </c>
      <c r="I150" s="35"/>
      <c r="J150" s="35"/>
      <c r="K150" s="36"/>
    </row>
    <row r="151" spans="2:11" x14ac:dyDescent="0.35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2:11" x14ac:dyDescent="0.35">
      <c r="C152" s="30" t="s">
        <v>359</v>
      </c>
      <c r="D152" s="31"/>
      <c r="E152" s="32"/>
      <c r="F152" s="33"/>
      <c r="G152" s="34" t="s">
        <v>212</v>
      </c>
      <c r="H152" s="34" t="s">
        <v>212</v>
      </c>
      <c r="I152" s="35"/>
      <c r="J152" s="35"/>
      <c r="K152" s="36"/>
    </row>
    <row r="153" spans="2:11" x14ac:dyDescent="0.35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2:11" x14ac:dyDescent="0.35">
      <c r="C154" s="30" t="s">
        <v>360</v>
      </c>
      <c r="D154" s="31"/>
      <c r="E154" s="32"/>
      <c r="F154" s="33"/>
      <c r="G154" s="34" t="s">
        <v>212</v>
      </c>
      <c r="H154" s="34" t="s">
        <v>212</v>
      </c>
      <c r="I154" s="35"/>
      <c r="J154" s="35"/>
      <c r="K154" s="36"/>
    </row>
    <row r="155" spans="2:11" x14ac:dyDescent="0.35">
      <c r="C155" s="21"/>
      <c r="D155" s="31"/>
      <c r="E155" s="32"/>
      <c r="F155" s="33"/>
      <c r="G155" s="34"/>
      <c r="H155" s="34"/>
      <c r="I155" s="35"/>
      <c r="J155" s="35"/>
      <c r="K155" s="36"/>
    </row>
    <row r="156" spans="2:11" x14ac:dyDescent="0.35">
      <c r="C156" s="30" t="s">
        <v>361</v>
      </c>
      <c r="D156" s="31"/>
      <c r="E156" s="32"/>
      <c r="F156" s="33"/>
      <c r="G156" s="34" t="s">
        <v>212</v>
      </c>
      <c r="H156" s="34" t="s">
        <v>212</v>
      </c>
      <c r="I156" s="35"/>
      <c r="J156" s="35"/>
      <c r="K156" s="36"/>
    </row>
    <row r="157" spans="2:11" x14ac:dyDescent="0.35">
      <c r="C157" s="21"/>
      <c r="D157" s="31"/>
      <c r="E157" s="32"/>
      <c r="F157" s="33"/>
      <c r="G157" s="34"/>
      <c r="H157" s="34"/>
      <c r="I157" s="35"/>
      <c r="J157" s="35"/>
      <c r="K157" s="36"/>
    </row>
    <row r="158" spans="2:11" x14ac:dyDescent="0.35">
      <c r="C158" s="37" t="s">
        <v>362</v>
      </c>
      <c r="D158" s="31"/>
      <c r="E158" s="32"/>
      <c r="F158" s="33"/>
      <c r="G158" s="34"/>
      <c r="H158" s="34"/>
      <c r="I158" s="35"/>
      <c r="J158" s="35"/>
      <c r="K158" s="36"/>
    </row>
    <row r="159" spans="2:11" x14ac:dyDescent="0.35">
      <c r="B159" s="1" t="s">
        <v>363</v>
      </c>
      <c r="C159" s="21" t="s">
        <v>364</v>
      </c>
      <c r="D159" s="31"/>
      <c r="E159" s="32"/>
      <c r="F159" s="33"/>
      <c r="G159" s="34">
        <v>40418.370000000003</v>
      </c>
      <c r="H159" s="34">
        <v>4.5199999999999996</v>
      </c>
      <c r="I159" s="35"/>
      <c r="J159" s="35"/>
      <c r="K159" s="36"/>
    </row>
    <row r="160" spans="2:11" x14ac:dyDescent="0.35">
      <c r="C160" s="30" t="s">
        <v>210</v>
      </c>
      <c r="D160" s="31"/>
      <c r="E160" s="32"/>
      <c r="F160" s="33"/>
      <c r="G160" s="38">
        <v>40418.370000000003</v>
      </c>
      <c r="H160" s="38">
        <v>4.5199999999999996</v>
      </c>
      <c r="I160" s="35"/>
      <c r="J160" s="35"/>
      <c r="K160" s="36"/>
    </row>
    <row r="161" spans="1:54" x14ac:dyDescent="0.35">
      <c r="C161" s="21"/>
      <c r="D161" s="31"/>
      <c r="E161" s="32"/>
      <c r="F161" s="33"/>
      <c r="G161" s="34"/>
      <c r="H161" s="34"/>
      <c r="I161" s="35"/>
      <c r="J161" s="35"/>
      <c r="K161" s="36"/>
    </row>
    <row r="162" spans="1:54" x14ac:dyDescent="0.35">
      <c r="A162" s="28"/>
      <c r="B162" s="29"/>
      <c r="C162" s="30" t="s">
        <v>365</v>
      </c>
      <c r="D162" s="31"/>
      <c r="E162" s="32"/>
      <c r="F162" s="33"/>
      <c r="G162" s="34"/>
      <c r="H162" s="34"/>
      <c r="I162" s="35"/>
      <c r="J162" s="35"/>
      <c r="K162" s="36"/>
    </row>
    <row r="163" spans="1:54" s="2" customFormat="1" ht="13.5" x14ac:dyDescent="0.35">
      <c r="A163" s="29"/>
      <c r="B163" s="29"/>
      <c r="C163" s="21" t="s">
        <v>366</v>
      </c>
      <c r="D163" s="31"/>
      <c r="E163" s="32"/>
      <c r="F163" s="33"/>
      <c r="G163" s="34" t="s">
        <v>212</v>
      </c>
      <c r="H163" s="34" t="s">
        <v>212</v>
      </c>
      <c r="I163" s="35"/>
      <c r="J163" s="35"/>
      <c r="K163" s="36"/>
      <c r="L163" s="10"/>
      <c r="AI163" s="10"/>
      <c r="AV163" s="10"/>
      <c r="AX163" s="10"/>
      <c r="BB163" s="10"/>
    </row>
    <row r="164" spans="1:54" x14ac:dyDescent="0.35">
      <c r="B164" s="1"/>
      <c r="C164" s="21" t="s">
        <v>367</v>
      </c>
      <c r="D164" s="31"/>
      <c r="E164" s="32"/>
      <c r="F164" s="33"/>
      <c r="G164" s="34">
        <v>7798</v>
      </c>
      <c r="H164" s="34">
        <v>0.88</v>
      </c>
      <c r="I164" s="35"/>
      <c r="J164" s="35"/>
      <c r="K164" s="36"/>
    </row>
    <row r="165" spans="1:54" x14ac:dyDescent="0.35">
      <c r="C165" s="30" t="s">
        <v>210</v>
      </c>
      <c r="D165" s="31"/>
      <c r="E165" s="32"/>
      <c r="F165" s="33"/>
      <c r="G165" s="38">
        <v>7798</v>
      </c>
      <c r="H165" s="38">
        <v>0.88</v>
      </c>
      <c r="I165" s="35"/>
      <c r="J165" s="35"/>
      <c r="K165" s="36"/>
    </row>
    <row r="166" spans="1:54" x14ac:dyDescent="0.35">
      <c r="C166" s="21"/>
      <c r="D166" s="31"/>
      <c r="E166" s="32"/>
      <c r="F166" s="33"/>
      <c r="G166" s="34"/>
      <c r="H166" s="34"/>
      <c r="I166" s="35"/>
      <c r="J166" s="35"/>
      <c r="K166" s="36"/>
    </row>
    <row r="167" spans="1:54" ht="15" thickBot="1" x14ac:dyDescent="0.4">
      <c r="C167" s="39" t="s">
        <v>368</v>
      </c>
      <c r="D167" s="40"/>
      <c r="E167" s="41"/>
      <c r="F167" s="42"/>
      <c r="G167" s="43">
        <v>894003.73</v>
      </c>
      <c r="H167" s="43">
        <v>99.999999999999986</v>
      </c>
      <c r="I167" s="44"/>
      <c r="J167" s="44"/>
      <c r="K167" s="45"/>
    </row>
    <row r="170" spans="1:54" x14ac:dyDescent="0.35">
      <c r="C170" s="11" t="s">
        <v>369</v>
      </c>
    </row>
    <row r="171" spans="1:54" x14ac:dyDescent="0.35">
      <c r="C171" s="46" t="s">
        <v>370</v>
      </c>
      <c r="D171" s="46"/>
      <c r="E171" s="46"/>
      <c r="F171" s="46"/>
      <c r="G171" s="46"/>
      <c r="H171" s="46"/>
      <c r="I171" s="46"/>
      <c r="J171" s="46"/>
      <c r="K171" s="46"/>
    </row>
    <row r="172" spans="1:54" x14ac:dyDescent="0.35">
      <c r="C172" s="2" t="s">
        <v>371</v>
      </c>
    </row>
    <row r="173" spans="1:54" x14ac:dyDescent="0.35">
      <c r="C173" s="2" t="s">
        <v>372</v>
      </c>
    </row>
    <row r="174" spans="1:54" ht="30" customHeight="1" x14ac:dyDescent="0.35">
      <c r="C174" s="47" t="s">
        <v>373</v>
      </c>
      <c r="D174" s="48"/>
      <c r="E174" s="48"/>
      <c r="F174" s="48"/>
      <c r="G174" s="48"/>
      <c r="H174" s="48"/>
      <c r="I174" s="48"/>
      <c r="J174" s="48"/>
      <c r="K174" s="48"/>
    </row>
    <row r="175" spans="1:54" x14ac:dyDescent="0.35">
      <c r="C175" s="2" t="s">
        <v>374</v>
      </c>
    </row>
    <row r="177" spans="3:5" x14ac:dyDescent="0.35">
      <c r="C177" s="11" t="s">
        <v>375</v>
      </c>
      <c r="E177" s="49" t="s">
        <v>376</v>
      </c>
    </row>
    <row r="178" spans="3:5" x14ac:dyDescent="0.35">
      <c r="E178" s="2" t="s">
        <v>377</v>
      </c>
    </row>
  </sheetData>
  <mergeCells count="1">
    <mergeCell ref="C174:K174"/>
  </mergeCells>
  <hyperlinks>
    <hyperlink ref="J2" location="'Index'!A1" display="'Index'!A1" xr:uid="{3F8E0DD2-9FED-47E9-9928-D4ED9F52B370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107</vt:i4>
      </vt:variant>
    </vt:vector>
  </HeadingPairs>
  <TitlesOfParts>
    <vt:vector size="108" baseType="lpstr">
      <vt:lpstr>SMAAF</vt:lpstr>
      <vt:lpstr>SMAAF!Print_Area</vt:lpstr>
      <vt:lpstr>XDO_?CLASS_3?35?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XDO_?NAMCNAME?35?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XDO_?NPTF?35?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XDO_?TITL?35?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XDO_GROUP_?G_2?35?</vt:lpstr>
      <vt:lpstr>XDO_GROUP_?G_3?35?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2025-07-08T07:20:20Z</dcterms:created>
  <dcterms:modified xsi:type="dcterms:W3CDTF">2025-07-08T07:20:21Z</dcterms:modified>
</cp:coreProperties>
</file>