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061224\November 2024\"/>
    </mc:Choice>
  </mc:AlternateContent>
  <xr:revisionPtr revIDLastSave="0" documentId="8_{10343B42-C132-4F08-BA5D-6741D18D698C}" xr6:coauthVersionLast="47" xr6:coauthVersionMax="47" xr10:uidLastSave="{00000000-0000-0000-0000-000000000000}"/>
  <bookViews>
    <workbookView xWindow="-110" yWindow="-110" windowWidth="19420" windowHeight="10420" xr2:uid="{AB8BFE16-69C8-4557-B895-F369C0931218}"/>
  </bookViews>
  <sheets>
    <sheet name="SMAA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35?">SMAAF!$C$8:$C$59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51?">SMAAF!$D$10:$D$59</definedName>
    <definedName name="XDO_?FINAL_ISIN?152?">SMAAF!$D$10:$D$67</definedName>
    <definedName name="XDO_?FINAL_ISIN?153?">SMAAF!$D$10:$D$71</definedName>
    <definedName name="XDO_?FINAL_ISIN?154?">SMAAF!$D$10:$D$107</definedName>
    <definedName name="XDO_?FINAL_ISIN?155?">SMAAF!$D$10:$D$118</definedName>
    <definedName name="XDO_?FINAL_ISIN?156?">SMAAF!$D$10:$D$139</definedName>
    <definedName name="XDO_?FINAL_ISIN?157?">SMAAF!$D$10:$D$151</definedName>
    <definedName name="XDO_?FINAL_ISIN?158?">SMAAF!$D$10:$D$156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5?">#REF!</definedName>
    <definedName name="XDO_?FINAL_ISIN?26?">#REF!</definedName>
    <definedName name="XDO_?FINAL_ISIN?3?">#REF!</definedName>
    <definedName name="XDO_?FINAL_ISIN?38?">#REF!</definedName>
    <definedName name="XDO_?FINAL_ISIN?39?">#REF!</definedName>
    <definedName name="XDO_?FINAL_ISIN?4?">#REF!</definedName>
    <definedName name="XDO_?FINAL_ISIN?45?">#REF!</definedName>
    <definedName name="XDO_?FINAL_ISIN?46?">#REF!</definedName>
    <definedName name="XDO_?FINAL_ISIN?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550?">#REF!</definedName>
    <definedName name="XDO_?FINAL_ISIN?551?">#REF!</definedName>
    <definedName name="XDO_?FINAL_ISIN?552?">#REF!</definedName>
    <definedName name="XDO_?FINAL_ISIN?553?">#REF!</definedName>
    <definedName name="XDO_?FINAL_ISIN?554?">#REF!</definedName>
    <definedName name="XDO_?FINAL_ISIN?555?">#REF!</definedName>
    <definedName name="XDO_?FINAL_ISIN?556?">#REF!</definedName>
    <definedName name="XDO_?FINAL_ISIN?557?">#REF!</definedName>
    <definedName name="XDO_?FINAL_ISIN?558?">#REF!</definedName>
    <definedName name="XDO_?FINAL_ISIN?559?">#REF!</definedName>
    <definedName name="XDO_?FINAL_ISIN?560?">#REF!</definedName>
    <definedName name="XDO_?FINAL_ISIN?561?">#REF!</definedName>
    <definedName name="XDO_?FINAL_ISIN?562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11?">[1]SFEF!$G$10:$G$33</definedName>
    <definedName name="XDO_?FINAL_MV?151?">SMAAF!$G$10:$G$59</definedName>
    <definedName name="XDO_?FINAL_MV?152?">SMAAF!$G$10:$G$67</definedName>
    <definedName name="XDO_?FINAL_MV?153?">SMAAF!$G$10:$G$71</definedName>
    <definedName name="XDO_?FINAL_MV?154?">SMAAF!$G$10:$G$107</definedName>
    <definedName name="XDO_?FINAL_MV?155?">SMAAF!$G$10:$G$118</definedName>
    <definedName name="XDO_?FINAL_MV?156?">SMAAF!$G$10:$G$139</definedName>
    <definedName name="XDO_?FINAL_MV?157?">SMAAF!$G$10:$G$151</definedName>
    <definedName name="XDO_?FINAL_MV?158?">SMAAF!$G$10:$G$156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5?">#REF!</definedName>
    <definedName name="XDO_?FINAL_MV?26?">#REF!</definedName>
    <definedName name="XDO_?FINAL_MV?27?">[1]SEHF!$G$10:$G$46</definedName>
    <definedName name="XDO_?FINAL_MV?3?">#REF!</definedName>
    <definedName name="XDO_?FINAL_MV?373?">[1]SBAF!$G$10:$G$103</definedName>
    <definedName name="XDO_?FINAL_MV?38?">#REF!</definedName>
    <definedName name="XDO_?FINAL_MV?39?">#REF!</definedName>
    <definedName name="XDO_?FINAL_MV?4?">#REF!</definedName>
    <definedName name="XDO_?FINAL_MV?45?">#REF!</definedName>
    <definedName name="XDO_?FINAL_MV?46?">#REF!</definedName>
    <definedName name="XDO_?FINAL_MV?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550?">#REF!</definedName>
    <definedName name="XDO_?FINAL_MV?551?">#REF!</definedName>
    <definedName name="XDO_?FINAL_MV?552?">#REF!</definedName>
    <definedName name="XDO_?FINAL_MV?553?">#REF!</definedName>
    <definedName name="XDO_?FINAL_MV?554?">#REF!</definedName>
    <definedName name="XDO_?FINAL_MV?555?">#REF!</definedName>
    <definedName name="XDO_?FINAL_MV?556?">#REF!</definedName>
    <definedName name="XDO_?FINAL_MV?557?">#REF!</definedName>
    <definedName name="XDO_?FINAL_MV?558?">#REF!</definedName>
    <definedName name="XDO_?FINAL_MV?559?">#REF!</definedName>
    <definedName name="XDO_?FINAL_MV?560?">#REF!</definedName>
    <definedName name="XDO_?FINAL_MV?561?">#REF!</definedName>
    <definedName name="XDO_?FINAL_MV?562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51?">SMAAF!$C$10:$C$59</definedName>
    <definedName name="XDO_?FINAL_NAME?152?">SMAAF!$C$10:$C$67</definedName>
    <definedName name="XDO_?FINAL_NAME?153?">SMAAF!$C$10:$C$71</definedName>
    <definedName name="XDO_?FINAL_NAME?154?">SMAAF!$C$10:$C$107</definedName>
    <definedName name="XDO_?FINAL_NAME?155?">SMAAF!$C$10:$C$118</definedName>
    <definedName name="XDO_?FINAL_NAME?156?">SMAAF!$C$10:$C$139</definedName>
    <definedName name="XDO_?FINAL_NAME?157?">SMAAF!$C$10:$C$151</definedName>
    <definedName name="XDO_?FINAL_NAME?158?">SMAAF!$C$10:$C$156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5?">#REF!</definedName>
    <definedName name="XDO_?FINAL_NAME?26?">#REF!</definedName>
    <definedName name="XDO_?FINAL_NAME?3?">#REF!</definedName>
    <definedName name="XDO_?FINAL_NAME?38?">#REF!</definedName>
    <definedName name="XDO_?FINAL_NAME?39?">#REF!</definedName>
    <definedName name="XDO_?FINAL_NAME?4?">#REF!</definedName>
    <definedName name="XDO_?FINAL_NAME?45?">#REF!</definedName>
    <definedName name="XDO_?FINAL_NAME?46?">#REF!</definedName>
    <definedName name="XDO_?FINAL_NAME?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550?">#REF!</definedName>
    <definedName name="XDO_?FINAL_NAME?551?">#REF!</definedName>
    <definedName name="XDO_?FINAL_NAME?552?">#REF!</definedName>
    <definedName name="XDO_?FINAL_NAME?553?">#REF!</definedName>
    <definedName name="XDO_?FINAL_NAME?554?">#REF!</definedName>
    <definedName name="XDO_?FINAL_NAME?555?">#REF!</definedName>
    <definedName name="XDO_?FINAL_NAME?556?">#REF!</definedName>
    <definedName name="XDO_?FINAL_NAME?557?">#REF!</definedName>
    <definedName name="XDO_?FINAL_NAME?558?">#REF!</definedName>
    <definedName name="XDO_?FINAL_NAME?559?">#REF!</definedName>
    <definedName name="XDO_?FINAL_NAME?560?">#REF!</definedName>
    <definedName name="XDO_?FINAL_NAME?561?">#REF!</definedName>
    <definedName name="XDO_?FINAL_NAME?562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11?">[1]SFEF!$H$10:$H$33</definedName>
    <definedName name="XDO_?FINAL_PER_NET?151?">SMAAF!$H$10:$H$59</definedName>
    <definedName name="XDO_?FINAL_PER_NET?152?">SMAAF!$H$10:$H$67</definedName>
    <definedName name="XDO_?FINAL_PER_NET?153?">SMAAF!$H$10:$H$71</definedName>
    <definedName name="XDO_?FINAL_PER_NET?154?">SMAAF!$H$10:$H$107</definedName>
    <definedName name="XDO_?FINAL_PER_NET?155?">SMAAF!$H$10:$H$118</definedName>
    <definedName name="XDO_?FINAL_PER_NET?156?">SMAAF!$H$10:$H$139</definedName>
    <definedName name="XDO_?FINAL_PER_NET?157?">SMAAF!$H$10:$H$151</definedName>
    <definedName name="XDO_?FINAL_PER_NET?158?">SMAAF!$H$10:$H$156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5?">#REF!</definedName>
    <definedName name="XDO_?FINAL_PER_NET?26?">#REF!</definedName>
    <definedName name="XDO_?FINAL_PER_NET?27?">[1]SEHF!$H$10:$H$46</definedName>
    <definedName name="XDO_?FINAL_PER_NET?3?">#REF!</definedName>
    <definedName name="XDO_?FINAL_PER_NET?373?">[1]SBAF!$H$10:$H$103</definedName>
    <definedName name="XDO_?FINAL_PER_NET?38?">#REF!</definedName>
    <definedName name="XDO_?FINAL_PER_NET?39?">#REF!</definedName>
    <definedName name="XDO_?FINAL_PER_NET?4?">#REF!</definedName>
    <definedName name="XDO_?FINAL_PER_NET?45?">#REF!</definedName>
    <definedName name="XDO_?FINAL_PER_NET?46?">#REF!</definedName>
    <definedName name="XDO_?FINAL_PER_NET?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550?">#REF!</definedName>
    <definedName name="XDO_?FINAL_PER_NET?551?">#REF!</definedName>
    <definedName name="XDO_?FINAL_PER_NET?552?">#REF!</definedName>
    <definedName name="XDO_?FINAL_PER_NET?553?">#REF!</definedName>
    <definedName name="XDO_?FINAL_PER_NET?554?">#REF!</definedName>
    <definedName name="XDO_?FINAL_PER_NET?555?">#REF!</definedName>
    <definedName name="XDO_?FINAL_PER_NET?556?">#REF!</definedName>
    <definedName name="XDO_?FINAL_PER_NET?557?">#REF!</definedName>
    <definedName name="XDO_?FINAL_PER_NET?558?">#REF!</definedName>
    <definedName name="XDO_?FINAL_PER_NET?559?">#REF!</definedName>
    <definedName name="XDO_?FINAL_PER_NET?560?">#REF!</definedName>
    <definedName name="XDO_?FINAL_PER_NET?561?">#REF!</definedName>
    <definedName name="XDO_?FINAL_PER_NET?562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51?">SMAAF!$F$10:$F$59</definedName>
    <definedName name="XDO_?FINAL_QUANTITE?152?">SMAAF!$F$10:$F$67</definedName>
    <definedName name="XDO_?FINAL_QUANTITE?153?">SMAAF!$F$10:$F$71</definedName>
    <definedName name="XDO_?FINAL_QUANTITE?154?">SMAAF!$F$10:$F$107</definedName>
    <definedName name="XDO_?FINAL_QUANTITE?155?">SMAAF!$F$10:$F$118</definedName>
    <definedName name="XDO_?FINAL_QUANTITE?156?">SMAAF!$F$10:$F$139</definedName>
    <definedName name="XDO_?FINAL_QUANTITE?157?">SMAAF!$F$10:$F$151</definedName>
    <definedName name="XDO_?FINAL_QUANTITE?158?">SMAAF!$F$10:$F$156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5?">#REF!</definedName>
    <definedName name="XDO_?FINAL_QUANTITE?26?">#REF!</definedName>
    <definedName name="XDO_?FINAL_QUANTITE?3?">#REF!</definedName>
    <definedName name="XDO_?FINAL_QUANTITE?38?">#REF!</definedName>
    <definedName name="XDO_?FINAL_QUANTITE?39?">#REF!</definedName>
    <definedName name="XDO_?FINAL_QUANTITE?4?">#REF!</definedName>
    <definedName name="XDO_?FINAL_QUANTITE?45?">#REF!</definedName>
    <definedName name="XDO_?FINAL_QUANTITE?46?">#REF!</definedName>
    <definedName name="XDO_?FINAL_QUANTITE?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550?">#REF!</definedName>
    <definedName name="XDO_?FINAL_QUANTITE?551?">#REF!</definedName>
    <definedName name="XDO_?FINAL_QUANTITE?552?">#REF!</definedName>
    <definedName name="XDO_?FINAL_QUANTITE?553?">#REF!</definedName>
    <definedName name="XDO_?FINAL_QUANTITE?554?">#REF!</definedName>
    <definedName name="XDO_?FINAL_QUANTITE?555?">#REF!</definedName>
    <definedName name="XDO_?FINAL_QUANTITE?556?">#REF!</definedName>
    <definedName name="XDO_?FINAL_QUANTITE?557?">#REF!</definedName>
    <definedName name="XDO_?FINAL_QUANTITE?558?">#REF!</definedName>
    <definedName name="XDO_?FINAL_QUANTITE?559?">#REF!</definedName>
    <definedName name="XDO_?FINAL_QUANTITE?560?">#REF!</definedName>
    <definedName name="XDO_?FINAL_QUANTITE?561?">#REF!</definedName>
    <definedName name="XDO_?FINAL_QUANTITE?562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'[1]SBI Silver ETF'!#REF!</definedName>
    <definedName name="XDO_?NAMC?126?">'[1]SBI Silver ETF Fund of Fund'!#REF!</definedName>
    <definedName name="XDO_?NAMC?127?">'[1]SBI Nifty50 Equal Weight ETF'!#REF!</definedName>
    <definedName name="XDO_?NAMC?128?">[1]SIOF!#REF!</definedName>
    <definedName name="XDO_?NAMC?129?">'[1]SBI Nifty 500 Index Fund'!#REF!</definedName>
    <definedName name="XDO_?NAMC?13?">[1]SMIF!#REF!</definedName>
    <definedName name="XDO_?NAMC?130?">[1]SBINICIF!#REF!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35?">SMAAF!$C$2:$C$59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'[1]SBI Silver ETF'!#REF!</definedName>
    <definedName name="XDO_?NDATE?126?">'[1]SBI Silver ETF Fund of Fund'!#REF!</definedName>
    <definedName name="XDO_?NDATE?127?">'[1]SBI Nifty50 Equal Weight ETF'!#REF!</definedName>
    <definedName name="XDO_?NDATE?128?">[1]SIOF!#REF!</definedName>
    <definedName name="XDO_?NDATE?129?">'[1]SBI Nifty 500 Index Fund'!#REF!</definedName>
    <definedName name="XDO_?NDATE?13?">[1]SMIF!#REF!</definedName>
    <definedName name="XDO_?NDATE?130?">[1]SBINICIF!#REF!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'[1]SBI Silver ETF'!#REF!</definedName>
    <definedName name="XDO_?NNPTF?126?">'[1]SBI Silver ETF Fund of Fund'!#REF!</definedName>
    <definedName name="XDO_?NNPTF?127?">'[1]SBI Nifty50 Equal Weight ETF'!#REF!</definedName>
    <definedName name="XDO_?NNPTF?128?">[1]SIOF!#REF!</definedName>
    <definedName name="XDO_?NNPTF?129?">'[1]SBI Nifty 500 Index Fund'!#REF!</definedName>
    <definedName name="XDO_?NNPTF?13?">[1]SMIF!#REF!</definedName>
    <definedName name="XDO_?NNPTF?130?">[1]SBINICIF!#REF!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51?">SMAAF!$B$10:$B$59</definedName>
    <definedName name="XDO_?NOVAL?152?">SMAAF!$B$10:$B$67</definedName>
    <definedName name="XDO_?NOVAL?153?">SMAAF!$B$10:$B$71</definedName>
    <definedName name="XDO_?NOVAL?154?">SMAAF!$B$10:$B$107</definedName>
    <definedName name="XDO_?NOVAL?155?">SMAAF!$B$10:$B$118</definedName>
    <definedName name="XDO_?NOVAL?156?">SMAAF!$B$10:$B$139</definedName>
    <definedName name="XDO_?NOVAL?157?">SMAAF!$B$10:$B$151</definedName>
    <definedName name="XDO_?NOVAL?158?">SMAAF!$B$10:$B$156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5?">#REF!</definedName>
    <definedName name="XDO_?NOVAL?26?">#REF!</definedName>
    <definedName name="XDO_?NOVAL?3?">#REF!</definedName>
    <definedName name="XDO_?NOVAL?38?">#REF!</definedName>
    <definedName name="XDO_?NOVAL?39?">#REF!</definedName>
    <definedName name="XDO_?NOVAL?4?">#REF!</definedName>
    <definedName name="XDO_?NOVAL?45?">#REF!</definedName>
    <definedName name="XDO_?NOVAL?46?">#REF!</definedName>
    <definedName name="XDO_?NOVAL?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550?">#REF!</definedName>
    <definedName name="XDO_?NOVAL?551?">#REF!</definedName>
    <definedName name="XDO_?NOVAL?552?">#REF!</definedName>
    <definedName name="XDO_?NOVAL?553?">#REF!</definedName>
    <definedName name="XDO_?NOVAL?554?">#REF!</definedName>
    <definedName name="XDO_?NOVAL?555?">#REF!</definedName>
    <definedName name="XDO_?NOVAL?556?">#REF!</definedName>
    <definedName name="XDO_?NOVAL?557?">#REF!</definedName>
    <definedName name="XDO_?NOVAL?558?">#REF!</definedName>
    <definedName name="XDO_?NOVAL?559?">#REF!</definedName>
    <definedName name="XDO_?NOVAL?560?">#REF!</definedName>
    <definedName name="XDO_?NOVAL?561?">#REF!</definedName>
    <definedName name="XDO_?NOVAL?562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35?">SMAAF!$D$2:$D$59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51?">SMAAF!$E$10:$E$59</definedName>
    <definedName name="XDO_?RATING?152?">SMAAF!$E$10:$E$67</definedName>
    <definedName name="XDO_?RATING?153?">SMAAF!$E$10:$E$71</definedName>
    <definedName name="XDO_?RATING?154?">SMAAF!$E$10:$E$107</definedName>
    <definedName name="XDO_?RATING?155?">SMAAF!$E$10:$E$118</definedName>
    <definedName name="XDO_?RATING?156?">SMAAF!$E$10:$E$139</definedName>
    <definedName name="XDO_?RATING?157?">SMAAF!$E$10:$E$151</definedName>
    <definedName name="XDO_?RATING?158?">SMAAF!$E$10:$E$156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5?">#REF!</definedName>
    <definedName name="XDO_?RATING?26?">#REF!</definedName>
    <definedName name="XDO_?RATING?3?">#REF!</definedName>
    <definedName name="XDO_?RATING?38?">#REF!</definedName>
    <definedName name="XDO_?RATING?39?">#REF!</definedName>
    <definedName name="XDO_?RATING?4?">#REF!</definedName>
    <definedName name="XDO_?RATING?45?">#REF!</definedName>
    <definedName name="XDO_?RATING?46?">#REF!</definedName>
    <definedName name="XDO_?RATING?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550?">#REF!</definedName>
    <definedName name="XDO_?RATING?551?">#REF!</definedName>
    <definedName name="XDO_?RATING?552?">#REF!</definedName>
    <definedName name="XDO_?RATING?553?">#REF!</definedName>
    <definedName name="XDO_?RATING?554?">#REF!</definedName>
    <definedName name="XDO_?RATING?555?">#REF!</definedName>
    <definedName name="XDO_?RATING?556?">#REF!</definedName>
    <definedName name="XDO_?RATING?557?">#REF!</definedName>
    <definedName name="XDO_?RATING?558?">#REF!</definedName>
    <definedName name="XDO_?RATING?559?">#REF!</definedName>
    <definedName name="XDO_?RATING?560?">#REF!</definedName>
    <definedName name="XDO_?RATING?561?">#REF!</definedName>
    <definedName name="XDO_?RATING?562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51?">SMAAF!$K$10:$K$59</definedName>
    <definedName name="XDO_?REMARKS?152?">SMAAF!$K$10:$K$67</definedName>
    <definedName name="XDO_?REMARKS?153?">SMAAF!$K$10:$K$71</definedName>
    <definedName name="XDO_?REMARKS?154?">SMAAF!$K$10:$K$107</definedName>
    <definedName name="XDO_?REMARKS?155?">SMAAF!$K$10:$K$118</definedName>
    <definedName name="XDO_?REMARKS?156?">SMAAF!$K$10:$K$139</definedName>
    <definedName name="XDO_?REMARKS?157?">SMAAF!$K$10:$K$151</definedName>
    <definedName name="XDO_?REMARKS?158?">SMAAF!$K$10:$K$156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5?">#REF!</definedName>
    <definedName name="XDO_?REMARKS?26?">#REF!</definedName>
    <definedName name="XDO_?REMARKS?3?">#REF!</definedName>
    <definedName name="XDO_?REMARKS?38?">#REF!</definedName>
    <definedName name="XDO_?REMARKS?39?">#REF!</definedName>
    <definedName name="XDO_?REMARKS?4?">#REF!</definedName>
    <definedName name="XDO_?REMARKS?45?">#REF!</definedName>
    <definedName name="XDO_?REMARKS?46?">#REF!</definedName>
    <definedName name="XDO_?REMARKS?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550?">#REF!</definedName>
    <definedName name="XDO_?REMARKS?551?">#REF!</definedName>
    <definedName name="XDO_?REMARKS?552?">#REF!</definedName>
    <definedName name="XDO_?REMARKS?553?">#REF!</definedName>
    <definedName name="XDO_?REMARKS?554?">#REF!</definedName>
    <definedName name="XDO_?REMARKS?555?">#REF!</definedName>
    <definedName name="XDO_?REMARKS?556?">#REF!</definedName>
    <definedName name="XDO_?REMARKS?557?">#REF!</definedName>
    <definedName name="XDO_?REMARKS?558?">#REF!</definedName>
    <definedName name="XDO_?REMARKS?559?">#REF!</definedName>
    <definedName name="XDO_?REMARKS?560?">#REF!</definedName>
    <definedName name="XDO_?REMARKS?561?">#REF!</definedName>
    <definedName name="XDO_?REMARKS?562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35?">SMAAF!$A$8:$A$59</definedName>
    <definedName name="XDO_?TITL?4?">#REF!</definedName>
    <definedName name="XDO_?TITL?7?">#REF!</definedName>
    <definedName name="XDO_?TITL?8?">#REF!</definedName>
    <definedName name="XDO_?YTM?1?">#REF!</definedName>
    <definedName name="XDO_?YTM?151?">SMAAF!$I$10:$I$59</definedName>
    <definedName name="XDO_?YTM?152?">SMAAF!$I$10:$I$67</definedName>
    <definedName name="XDO_?YTM?153?">SMAAF!$I$10:$I$71</definedName>
    <definedName name="XDO_?YTM?154?">SMAAF!$I$10:$I$107</definedName>
    <definedName name="XDO_?YTM?155?">SMAAF!$I$10:$I$118</definedName>
    <definedName name="XDO_?YTM?156?">SMAAF!$I$10:$I$139</definedName>
    <definedName name="XDO_?YTM?157?">SMAAF!$I$10:$I$151</definedName>
    <definedName name="XDO_?YTM?158?">SMAAF!$I$10:$I$156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5?">#REF!</definedName>
    <definedName name="XDO_?YTM?26?">#REF!</definedName>
    <definedName name="XDO_?YTM?3?">#REF!</definedName>
    <definedName name="XDO_?YTM?38?">#REF!</definedName>
    <definedName name="XDO_?YTM?39?">#REF!</definedName>
    <definedName name="XDO_?YTM?4?">#REF!</definedName>
    <definedName name="XDO_?YTM?45?">#REF!</definedName>
    <definedName name="XDO_?YTM?46?">#REF!</definedName>
    <definedName name="XDO_?YTM?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550?">#REF!</definedName>
    <definedName name="XDO_?YTM?551?">#REF!</definedName>
    <definedName name="XDO_?YTM?552?">#REF!</definedName>
    <definedName name="XDO_?YTM?553?">#REF!</definedName>
    <definedName name="XDO_?YTM?554?">#REF!</definedName>
    <definedName name="XDO_?YTM?555?">#REF!</definedName>
    <definedName name="XDO_?YTM?556?">#REF!</definedName>
    <definedName name="XDO_?YTM?557?">#REF!</definedName>
    <definedName name="XDO_?YTM?558?">#REF!</definedName>
    <definedName name="XDO_?YTM?559?">#REF!</definedName>
    <definedName name="XDO_?YTM?560?">#REF!</definedName>
    <definedName name="XDO_?YTM?561?">#REF!</definedName>
    <definedName name="XDO_?YTM?562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35?">SMAAF!$2:$159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35?">SMAAF!$8:$158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51?">SMAAF!$B$10:$IV$59</definedName>
    <definedName name="XDO_GROUP_?G_4?152?">SMAAF!$B$67:$IV$67</definedName>
    <definedName name="XDO_GROUP_?G_4?153?">SMAAF!$B$71:$IV$71</definedName>
    <definedName name="XDO_GROUP_?G_4?154?">SMAAF!$B$80:$IV$107</definedName>
    <definedName name="XDO_GROUP_?G_4?155?">SMAAF!$B$115:$IV$118</definedName>
    <definedName name="XDO_GROUP_?G_4?156?">SMAAF!$B$137:$IV$139</definedName>
    <definedName name="XDO_GROUP_?G_4?157?">SMAAF!$B$151:$IV$151</definedName>
    <definedName name="XDO_GROUP_?G_4?158?">SMAAF!$B$156:$IV$156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5?">#REF!</definedName>
    <definedName name="XDO_GROUP_?G_4?26?">#REF!</definedName>
    <definedName name="XDO_GROUP_?G_4?3?">#REF!</definedName>
    <definedName name="XDO_GROUP_?G_4?38?">#REF!</definedName>
    <definedName name="XDO_GROUP_?G_4?39?">#REF!</definedName>
    <definedName name="XDO_GROUP_?G_4?4?">#REF!</definedName>
    <definedName name="XDO_GROUP_?G_4?45?">#REF!</definedName>
    <definedName name="XDO_GROUP_?G_4?46?">#REF!</definedName>
    <definedName name="XDO_GROUP_?G_4?5?">#REF!</definedName>
    <definedName name="XDO_GROUP_?G_4?529?">'[1]SBI Silver ETF'!#REF!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550?">#REF!</definedName>
    <definedName name="XDO_GROUP_?G_4?551?">#REF!</definedName>
    <definedName name="XDO_GROUP_?G_4?552?">#REF!</definedName>
    <definedName name="XDO_GROUP_?G_4?553?">#REF!</definedName>
    <definedName name="XDO_GROUP_?G_4?554?">#REF!</definedName>
    <definedName name="XDO_GROUP_?G_4?555?">#REF!</definedName>
    <definedName name="XDO_GROUP_?G_4?556?">#REF!</definedName>
    <definedName name="XDO_GROUP_?G_4?557?">#REF!</definedName>
    <definedName name="XDO_GROUP_?G_4?558?">#REF!</definedName>
    <definedName name="XDO_GROUP_?G_4?559?">#REF!</definedName>
    <definedName name="XDO_GROUP_?G_4?560?">#REF!</definedName>
    <definedName name="XDO_GROUP_?G_4?561?">#REF!</definedName>
    <definedName name="XDO_GROUP_?G_4?562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" l="1"/>
  <c r="G60" i="1"/>
</calcChain>
</file>

<file path=xl/sharedStrings.xml><?xml version="1.0" encoding="utf-8"?>
<sst xmlns="http://schemas.openxmlformats.org/spreadsheetml/2006/main" count="476" uniqueCount="359">
  <si>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</si>
  <si>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</si>
  <si>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</si>
  <si>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</si>
  <si>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</si>
  <si>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</si>
  <si>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</si>
  <si>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</si>
  <si>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</si>
  <si>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</si>
  <si>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</si>
  <si>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</si>
  <si>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</si>
  <si>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</si>
  <si>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</si>
  <si>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</si>
  <si>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</si>
  <si>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</si>
  <si>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</si>
  <si>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</si>
  <si>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</si>
  <si>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</si>
  <si>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</si>
  <si>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</si>
  <si>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</si>
  <si>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100675</t>
  </si>
  <si>
    <t>VRL Logistics Ltd.</t>
  </si>
  <si>
    <t>INE366I01010</t>
  </si>
  <si>
    <t>Transport Services</t>
  </si>
  <si>
    <t>100176</t>
  </si>
  <si>
    <t>GAIL (India) Ltd.</t>
  </si>
  <si>
    <t>INE129A01019</t>
  </si>
  <si>
    <t>Gas</t>
  </si>
  <si>
    <t>100011</t>
  </si>
  <si>
    <t>Wipro Ltd.</t>
  </si>
  <si>
    <t>INE075A01022</t>
  </si>
  <si>
    <t>IT - Software</t>
  </si>
  <si>
    <t>100010</t>
  </si>
  <si>
    <t>State Bank of India</t>
  </si>
  <si>
    <t>INE062A01020</t>
  </si>
  <si>
    <t>100043</t>
  </si>
  <si>
    <t>ZF Commercial Vehicle Control Systems India Ltd.</t>
  </si>
  <si>
    <t>INE342J01019</t>
  </si>
  <si>
    <t>Auto Components</t>
  </si>
  <si>
    <t>100037</t>
  </si>
  <si>
    <t>HCL Technologies Ltd.</t>
  </si>
  <si>
    <t>INE860A01027</t>
  </si>
  <si>
    <t>100505</t>
  </si>
  <si>
    <t>ICICI Prudential Life Insurance Company Ltd.</t>
  </si>
  <si>
    <t>INE726G01019</t>
  </si>
  <si>
    <t>Insurance</t>
  </si>
  <si>
    <t>100536</t>
  </si>
  <si>
    <t>VIP Industries Ltd.</t>
  </si>
  <si>
    <t>INE054A01027</t>
  </si>
  <si>
    <t>Consumer Durables</t>
  </si>
  <si>
    <t>100003</t>
  </si>
  <si>
    <t>Infosys Ltd.</t>
  </si>
  <si>
    <t>INE009A01021</t>
  </si>
  <si>
    <t>100257</t>
  </si>
  <si>
    <t>Whirlpool of India Ltd.</t>
  </si>
  <si>
    <t>INE716A01013</t>
  </si>
  <si>
    <t>100047</t>
  </si>
  <si>
    <t>Emami Ltd.</t>
  </si>
  <si>
    <t>INE548C01032</t>
  </si>
  <si>
    <t>Personal Products</t>
  </si>
  <si>
    <t>102005</t>
  </si>
  <si>
    <t>Tata Technologies Ltd.</t>
  </si>
  <si>
    <t>INE142M01025</t>
  </si>
  <si>
    <t>IT - Services</t>
  </si>
  <si>
    <t>100292</t>
  </si>
  <si>
    <t>Steel Authority of India Ltd.</t>
  </si>
  <si>
    <t>INE114A01011</t>
  </si>
  <si>
    <t>Ferrous Metals</t>
  </si>
  <si>
    <t>100111</t>
  </si>
  <si>
    <t>Oil &amp; Natural Gas Corporation Ltd.</t>
  </si>
  <si>
    <t>INE213A01029</t>
  </si>
  <si>
    <t>Oil</t>
  </si>
  <si>
    <t>100085</t>
  </si>
  <si>
    <t>Ashoka Buildcon Ltd.</t>
  </si>
  <si>
    <t>INE442H01029</t>
  </si>
  <si>
    <t>Construction</t>
  </si>
  <si>
    <t>100694</t>
  </si>
  <si>
    <t>Indian Energy Exchange Ltd.</t>
  </si>
  <si>
    <t>INE022Q01020</t>
  </si>
  <si>
    <t>Capital Markets</t>
  </si>
  <si>
    <t>100771</t>
  </si>
  <si>
    <t>Bandhan Bank Ltd.</t>
  </si>
  <si>
    <t>INE545U01014</t>
  </si>
  <si>
    <t>101378</t>
  </si>
  <si>
    <t>FSN E-Commerce Ventures Ltd.</t>
  </si>
  <si>
    <t>INE388Y01029</t>
  </si>
  <si>
    <t>Retailing</t>
  </si>
  <si>
    <t>100374</t>
  </si>
  <si>
    <t>CESC Ltd.</t>
  </si>
  <si>
    <t>INE486A01021</t>
  </si>
  <si>
    <t>Power</t>
  </si>
  <si>
    <t>101207</t>
  </si>
  <si>
    <t>Restaurant Brands Asia Ltd.</t>
  </si>
  <si>
    <t>INE07T201019</t>
  </si>
  <si>
    <t>Leisure Services</t>
  </si>
  <si>
    <t>101550</t>
  </si>
  <si>
    <t>Life Insurance Corporation of India</t>
  </si>
  <si>
    <t>INE0J1Y01017</t>
  </si>
  <si>
    <t>100550</t>
  </si>
  <si>
    <t>Sagar Cements Ltd.</t>
  </si>
  <si>
    <t>INE229C01021</t>
  </si>
  <si>
    <t>Cement &amp; Cement Products</t>
  </si>
  <si>
    <t>100033</t>
  </si>
  <si>
    <t>Indian Bank</t>
  </si>
  <si>
    <t>INE562A01011</t>
  </si>
  <si>
    <t>100112</t>
  </si>
  <si>
    <t>Punjab National Bank</t>
  </si>
  <si>
    <t>INE160A01022</t>
  </si>
  <si>
    <t>100012</t>
  </si>
  <si>
    <t>ICICI Bank Ltd.</t>
  </si>
  <si>
    <t>INE090A01021</t>
  </si>
  <si>
    <t>101370</t>
  </si>
  <si>
    <t>Gokaldas Exports Ltd.</t>
  </si>
  <si>
    <t>INE887G01027</t>
  </si>
  <si>
    <t>Textiles &amp; Apparels</t>
  </si>
  <si>
    <t>100227</t>
  </si>
  <si>
    <t>Jubilant Foodworks Ltd.</t>
  </si>
  <si>
    <t>INE797F01020</t>
  </si>
  <si>
    <t>100259</t>
  </si>
  <si>
    <t>Kalpataru Projects International Ltd.</t>
  </si>
  <si>
    <t>INE220B01022</t>
  </si>
  <si>
    <t>100224</t>
  </si>
  <si>
    <t>Mahindra Lifespace Developers Ltd.</t>
  </si>
  <si>
    <t>INE813A01018</t>
  </si>
  <si>
    <t>Realty</t>
  </si>
  <si>
    <t>100256</t>
  </si>
  <si>
    <t>City Union Bank Ltd.</t>
  </si>
  <si>
    <t>INE491A01021</t>
  </si>
  <si>
    <t>100126</t>
  </si>
  <si>
    <t>Britannia Industries Ltd.</t>
  </si>
  <si>
    <t>INE216A01030</t>
  </si>
  <si>
    <t>Food Products</t>
  </si>
  <si>
    <t>100768</t>
  </si>
  <si>
    <t>V-Mart Retail Ltd.</t>
  </si>
  <si>
    <t>INE665J01013</t>
  </si>
  <si>
    <t>100447</t>
  </si>
  <si>
    <t>LTIMindtree Ltd.</t>
  </si>
  <si>
    <t>INE214T01019</t>
  </si>
  <si>
    <t>100566</t>
  </si>
  <si>
    <t>Laurus Labs Ltd.</t>
  </si>
  <si>
    <t>INE947Q01028</t>
  </si>
  <si>
    <t>Pharmaceuticals &amp; Biotechnology</t>
  </si>
  <si>
    <t>100743</t>
  </si>
  <si>
    <t>HeidelbergCement India Ltd.</t>
  </si>
  <si>
    <t>INE578A01017</t>
  </si>
  <si>
    <t>100147</t>
  </si>
  <si>
    <t>Tech Mahindra Ltd.</t>
  </si>
  <si>
    <t>INE669C01036</t>
  </si>
  <si>
    <t>100223</t>
  </si>
  <si>
    <t>United Spirits Ltd.</t>
  </si>
  <si>
    <t>INE854D01024</t>
  </si>
  <si>
    <t>Beverages</t>
  </si>
  <si>
    <t>100723</t>
  </si>
  <si>
    <t>Ashiana Housing Ltd.</t>
  </si>
  <si>
    <t>INE365D01021</t>
  </si>
  <si>
    <t>100095</t>
  </si>
  <si>
    <t>Bharti Airtel Ltd.</t>
  </si>
  <si>
    <t>INE397D01024</t>
  </si>
  <si>
    <t>Telecom - Services</t>
  </si>
  <si>
    <t>101200</t>
  </si>
  <si>
    <t>Gland Pharma Ltd.</t>
  </si>
  <si>
    <t>INE068V01023</t>
  </si>
  <si>
    <t>100814</t>
  </si>
  <si>
    <t>HDFC Asset Management Co. Ltd.</t>
  </si>
  <si>
    <t>INE127D01025</t>
  </si>
  <si>
    <t>101469</t>
  </si>
  <si>
    <t>Equitas Small Finance Bank Ltd.</t>
  </si>
  <si>
    <t>INE063P01018</t>
  </si>
  <si>
    <t>100165</t>
  </si>
  <si>
    <t>Rallis India Ltd.</t>
  </si>
  <si>
    <t>INE613A01020</t>
  </si>
  <si>
    <t>Fertilizers &amp; Agrochemicals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</si>
  <si>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</si>
  <si>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</si>
  <si>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</si>
  <si>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</si>
  <si>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</si>
  <si>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</si>
  <si>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</si>
  <si>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100024</t>
  </si>
  <si>
    <t>Axis Bank Ltd.</t>
  </si>
  <si>
    <t>INE238A01034</t>
  </si>
  <si>
    <t>100370</t>
  </si>
  <si>
    <t>Biocon Ltd.</t>
  </si>
  <si>
    <t>INE376G01013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</si>
  <si>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</si>
  <si>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</si>
  <si>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</si>
  <si>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</si>
  <si>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</si>
  <si>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</si>
  <si>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</si>
  <si>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Infrastructure Investment Trust</t>
  </si>
  <si>
    <t>3300006</t>
  </si>
  <si>
    <t>Cube Highways Trust</t>
  </si>
  <si>
    <t>INE0NR623014</t>
  </si>
  <si>
    <t>Transport Infrastructure</t>
  </si>
  <si>
    <t>e) Real Estate Investment Trust</t>
  </si>
  <si>
    <t>3200002</t>
  </si>
  <si>
    <t>Embassy Office Parks Reit</t>
  </si>
  <si>
    <t>INE041025011</t>
  </si>
  <si>
    <t>f) Compulsory Convertible Debentures</t>
  </si>
  <si>
    <t>6200001</t>
  </si>
  <si>
    <t>Cholamandalam Investment &amp; Finance Co. Ltd.</t>
  </si>
  <si>
    <t>INE121A08PJ0</t>
  </si>
  <si>
    <t>Finance</t>
  </si>
  <si>
    <t>N**</t>
  </si>
  <si>
    <t>DEBT INSTRUMENTS</t>
  </si>
  <si>
    <t>a) Listed/awaiting listing on the stock exchanges</t>
  </si>
  <si>
    <t>704986</t>
  </si>
  <si>
    <t>Bharti Telecom Ltd.</t>
  </si>
  <si>
    <t>INE403D08264</t>
  </si>
  <si>
    <t>CRISIL AA+</t>
  </si>
  <si>
    <t>704936</t>
  </si>
  <si>
    <t>Aditya Birla Renewables Ltd.</t>
  </si>
  <si>
    <t>INE01QP08016</t>
  </si>
  <si>
    <t>CRISIL AA</t>
  </si>
  <si>
    <t>704927</t>
  </si>
  <si>
    <t>Tata Power Renewable Energy Ltd. (Guaranteed by Tata Power Ltd.)</t>
  </si>
  <si>
    <t>INE607M08105</t>
  </si>
  <si>
    <t>[ICRA]AA+</t>
  </si>
  <si>
    <t>704821</t>
  </si>
  <si>
    <t>Infopark Properties Ltd.</t>
  </si>
  <si>
    <t>INE0KZX07023</t>
  </si>
  <si>
    <t>CARE AA-</t>
  </si>
  <si>
    <t>704942</t>
  </si>
  <si>
    <t>Avanse Financial Services Ltd.</t>
  </si>
  <si>
    <t>INE087P07402</t>
  </si>
  <si>
    <t>704858</t>
  </si>
  <si>
    <t>SBFC Finance Ltd.</t>
  </si>
  <si>
    <t>INE423Y07112</t>
  </si>
  <si>
    <t>IND AA-</t>
  </si>
  <si>
    <t>704854</t>
  </si>
  <si>
    <t>Bajaj Housing Finance Ltd.</t>
  </si>
  <si>
    <t>INE377Y07508</t>
  </si>
  <si>
    <t>CRISIL AAA</t>
  </si>
  <si>
    <t>704738</t>
  </si>
  <si>
    <t>Renserv Global Pvt Ltd.</t>
  </si>
  <si>
    <t>INE0AY207053</t>
  </si>
  <si>
    <t>CARE A+(CE)</t>
  </si>
  <si>
    <t>702399</t>
  </si>
  <si>
    <t>Canara Bank( Tier II Bond under Basel III )</t>
  </si>
  <si>
    <t>INE476A08076</t>
  </si>
  <si>
    <t>IND AAA</t>
  </si>
  <si>
    <t>704778</t>
  </si>
  <si>
    <t>INE121A07SB3</t>
  </si>
  <si>
    <t>704589</t>
  </si>
  <si>
    <t>Tata Projects Ltd.</t>
  </si>
  <si>
    <t>INE725H08162</t>
  </si>
  <si>
    <t>IND AA</t>
  </si>
  <si>
    <t>704477</t>
  </si>
  <si>
    <t>Godrej Industries Ltd.</t>
  </si>
  <si>
    <t>INE233A08089</t>
  </si>
  <si>
    <t>704592</t>
  </si>
  <si>
    <t>Muthoot Finance Ltd.</t>
  </si>
  <si>
    <t>INE414G07IR6</t>
  </si>
  <si>
    <t>704671</t>
  </si>
  <si>
    <t>JM Financial Credit Solutions Ltd.</t>
  </si>
  <si>
    <t>INE651J07978</t>
  </si>
  <si>
    <t>[ICRA]AA</t>
  </si>
  <si>
    <t>704484</t>
  </si>
  <si>
    <t>JM Financial Asset Reconstruction Company Ltd.</t>
  </si>
  <si>
    <t>INE265J07555</t>
  </si>
  <si>
    <t>CRISIL AA-</t>
  </si>
  <si>
    <t>704639</t>
  </si>
  <si>
    <t>Mahindra Rural Housing Finance Ltd.</t>
  </si>
  <si>
    <t>INE950O07438</t>
  </si>
  <si>
    <t>704631</t>
  </si>
  <si>
    <t>SMFG India Home Finance Co. Ltd.</t>
  </si>
  <si>
    <t>INE213W07277</t>
  </si>
  <si>
    <t>702275</t>
  </si>
  <si>
    <t>Indian Bank( Tier II Bond under Basel III )</t>
  </si>
  <si>
    <t>INE428A08101</t>
  </si>
  <si>
    <t>IND AA+</t>
  </si>
  <si>
    <t>704546</t>
  </si>
  <si>
    <t>JM Financial Services Ltd.</t>
  </si>
  <si>
    <t>INE012I07066</t>
  </si>
  <si>
    <t>704655</t>
  </si>
  <si>
    <t>Indostar Capital Finance Ltd.</t>
  </si>
  <si>
    <t>INE896L07942</t>
  </si>
  <si>
    <t>704850</t>
  </si>
  <si>
    <t>Sundaram Finance Ltd.</t>
  </si>
  <si>
    <t>INE660A08CI7</t>
  </si>
  <si>
    <t>704693</t>
  </si>
  <si>
    <t>INE950O07446</t>
  </si>
  <si>
    <t>704296</t>
  </si>
  <si>
    <t>INE087P07337</t>
  </si>
  <si>
    <t>703394</t>
  </si>
  <si>
    <t>L&amp;T Metro Rail (Hyderabad) Ltd. [Guaranteed by Larsen &amp; Toubro Ltd.]</t>
  </si>
  <si>
    <t>INE128M08060</t>
  </si>
  <si>
    <t>CRISIL AAA(CE)</t>
  </si>
  <si>
    <t>704443</t>
  </si>
  <si>
    <t>INE012I07041</t>
  </si>
  <si>
    <t>704291</t>
  </si>
  <si>
    <t>Aadhar Housing Finance Ltd.</t>
  </si>
  <si>
    <t>INE883F07306</t>
  </si>
  <si>
    <t>703923</t>
  </si>
  <si>
    <t>INE403D08132</t>
  </si>
  <si>
    <t>704114</t>
  </si>
  <si>
    <t>INE414G07HK3</t>
  </si>
  <si>
    <t>b) Privately Placed/Unlisted</t>
  </si>
  <si>
    <t>c) Securitised Debt Instruments</t>
  </si>
  <si>
    <t>d) Central Government Securities</t>
  </si>
  <si>
    <t>900294</t>
  </si>
  <si>
    <t>7.30% CGL 2053</t>
  </si>
  <si>
    <t>IN0020230051</t>
  </si>
  <si>
    <t>Sovereign</t>
  </si>
  <si>
    <t>900299</t>
  </si>
  <si>
    <t>7.18% CGL 2033</t>
  </si>
  <si>
    <t>IN0020230085</t>
  </si>
  <si>
    <t>1905304</t>
  </si>
  <si>
    <t>7.10% CGL 2034</t>
  </si>
  <si>
    <t>IN0020240019</t>
  </si>
  <si>
    <t>900290</t>
  </si>
  <si>
    <t>7.06% CGL 2028</t>
  </si>
  <si>
    <t>IN0020230010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</si>
  <si>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</si>
  <si>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</si>
  <si>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</si>
  <si>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</si>
  <si>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</si>
  <si>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</si>
  <si>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</si>
  <si>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</si>
  <si>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</si>
  <si>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417210</t>
  </si>
  <si>
    <t>SBI Gold ETF</t>
  </si>
  <si>
    <t>INF200KA16D8</t>
  </si>
  <si>
    <t>2800001</t>
  </si>
  <si>
    <t>Nippon India Silver ETF</t>
  </si>
  <si>
    <t>INF204KC1402</t>
  </si>
  <si>
    <t>2800002</t>
  </si>
  <si>
    <t>SBI Silver ETF</t>
  </si>
  <si>
    <t>INF200KB1217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</si>
  <si>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</si>
  <si>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</si>
  <si>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</si>
  <si>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</si>
  <si>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</si>
  <si>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212240100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</si>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</sst>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9A4FE394-5B3B-4BA5-878C-844F199AAA67}"/>
    <cellStyle name="Style 1" xfId="3" xr:uid="{C1FFFD59-4F6F-4FC3-A417-F4ED08F64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2585361</xdr:colOff>
      <xdr:row>177</xdr:row>
      <xdr:rowOff>106501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31820B-ECD7-4D6E-9524-BF3002A2B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1730950"/>
          <a:ext cx="2585361" cy="13955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170</xdr:row>
      <xdr:rowOff>0</xdr:rowOff>
    </xdr:from>
    <xdr:to>
      <xdr:col>5</xdr:col>
      <xdr:colOff>643257</xdr:colOff>
      <xdr:row>177</xdr:row>
      <xdr:rowOff>106501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B3F5FE-CB11-403D-9CB5-E7707AACE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31730950"/>
          <a:ext cx="2300607" cy="1395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061224\November%202024\All%20Schemes%20Monthly%20Portfolio%20-%20as%20on%2030th%20November%202024.xlsx" TargetMode="External"/><Relationship Id="rId1" Type="http://schemas.openxmlformats.org/officeDocument/2006/relationships/externalLinkPath" Target="All%20Schemes%20Monthly%20Portfolio%20-%20as%20on%2030th%20Nov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  <sheetName val="SBINICIF"/>
    </sheetNames>
    <sheetDataSet>
      <sheetData sheetId="0"/>
      <sheetData sheetId="1"/>
      <sheetData sheetId="2"/>
      <sheetData sheetId="3"/>
      <sheetData sheetId="4"/>
      <sheetData sheetId="5">
        <row r="10">
          <cell r="G10">
            <v>429033</v>
          </cell>
          <cell r="H10">
            <v>5.92</v>
          </cell>
        </row>
        <row r="11">
          <cell r="G11">
            <v>406787.5</v>
          </cell>
          <cell r="H11">
            <v>5.62</v>
          </cell>
        </row>
        <row r="12">
          <cell r="G12">
            <v>308635</v>
          </cell>
          <cell r="H12">
            <v>4.26</v>
          </cell>
        </row>
        <row r="13">
          <cell r="G13">
            <v>305328.5</v>
          </cell>
          <cell r="H13">
            <v>4.22</v>
          </cell>
        </row>
        <row r="14">
          <cell r="G14">
            <v>278677.5</v>
          </cell>
          <cell r="H14">
            <v>3.85</v>
          </cell>
        </row>
        <row r="15">
          <cell r="G15">
            <v>276853.5</v>
          </cell>
          <cell r="H15">
            <v>3.82</v>
          </cell>
        </row>
        <row r="16">
          <cell r="G16">
            <v>274196.34000000003</v>
          </cell>
          <cell r="H16">
            <v>3.79</v>
          </cell>
        </row>
        <row r="17">
          <cell r="G17">
            <v>258440</v>
          </cell>
          <cell r="H17">
            <v>3.57</v>
          </cell>
        </row>
        <row r="18">
          <cell r="G18">
            <v>250270.69</v>
          </cell>
          <cell r="H18">
            <v>3.46</v>
          </cell>
        </row>
        <row r="19">
          <cell r="G19">
            <v>212927.21</v>
          </cell>
          <cell r="H19">
            <v>2.94</v>
          </cell>
        </row>
        <row r="20">
          <cell r="G20">
            <v>206003.96</v>
          </cell>
          <cell r="H20">
            <v>2.84</v>
          </cell>
        </row>
        <row r="21">
          <cell r="G21">
            <v>203852.9</v>
          </cell>
          <cell r="H21">
            <v>2.81</v>
          </cell>
        </row>
        <row r="22">
          <cell r="G22">
            <v>191705</v>
          </cell>
          <cell r="H22">
            <v>2.65</v>
          </cell>
        </row>
        <row r="23">
          <cell r="G23">
            <v>186240</v>
          </cell>
          <cell r="H23">
            <v>2.57</v>
          </cell>
        </row>
        <row r="24">
          <cell r="G24">
            <v>164050</v>
          </cell>
          <cell r="H24">
            <v>2.2599999999999998</v>
          </cell>
        </row>
        <row r="25">
          <cell r="G25">
            <v>140938.04999999999</v>
          </cell>
          <cell r="H25">
            <v>1.95</v>
          </cell>
        </row>
        <row r="26">
          <cell r="G26">
            <v>123567.5</v>
          </cell>
          <cell r="H26">
            <v>1.71</v>
          </cell>
        </row>
        <row r="27">
          <cell r="G27">
            <v>112119.28</v>
          </cell>
          <cell r="H27">
            <v>1.55</v>
          </cell>
        </row>
        <row r="28">
          <cell r="G28">
            <v>101080.9</v>
          </cell>
          <cell r="H28">
            <v>1.4</v>
          </cell>
        </row>
        <row r="29">
          <cell r="G29">
            <v>100546.61</v>
          </cell>
          <cell r="H29">
            <v>1.39</v>
          </cell>
        </row>
        <row r="30">
          <cell r="G30">
            <v>81921.399999999994</v>
          </cell>
          <cell r="H30">
            <v>1.1299999999999999</v>
          </cell>
        </row>
        <row r="31">
          <cell r="G31">
            <v>77400.25</v>
          </cell>
          <cell r="H31">
            <v>1.07</v>
          </cell>
        </row>
        <row r="32">
          <cell r="G32">
            <v>71710</v>
          </cell>
          <cell r="H32">
            <v>0.99</v>
          </cell>
        </row>
        <row r="33">
          <cell r="G33">
            <v>68332.160000000003</v>
          </cell>
          <cell r="H33">
            <v>0.94</v>
          </cell>
        </row>
        <row r="34">
          <cell r="G34">
            <v>59389.5</v>
          </cell>
          <cell r="H34">
            <v>0.82</v>
          </cell>
        </row>
        <row r="35">
          <cell r="G35">
            <v>58335.199999999997</v>
          </cell>
          <cell r="H35">
            <v>0.81</v>
          </cell>
        </row>
        <row r="36">
          <cell r="G36">
            <v>58196.13</v>
          </cell>
          <cell r="H36">
            <v>0.8</v>
          </cell>
        </row>
        <row r="37">
          <cell r="G37">
            <v>57111.5</v>
          </cell>
          <cell r="H37">
            <v>0.79</v>
          </cell>
        </row>
        <row r="38">
          <cell r="G38">
            <v>56882.51</v>
          </cell>
          <cell r="H38">
            <v>0.79</v>
          </cell>
        </row>
        <row r="39">
          <cell r="G39">
            <v>44252.160000000003</v>
          </cell>
          <cell r="H39">
            <v>0.61</v>
          </cell>
        </row>
        <row r="40">
          <cell r="G40">
            <v>30845.439999999999</v>
          </cell>
          <cell r="H40">
            <v>0.43</v>
          </cell>
        </row>
        <row r="41">
          <cell r="G41">
            <v>20696.82</v>
          </cell>
          <cell r="H41">
            <v>0.28999999999999998</v>
          </cell>
        </row>
        <row r="42">
          <cell r="G42">
            <v>20038.22</v>
          </cell>
          <cell r="H42">
            <v>0.28000000000000003</v>
          </cell>
        </row>
        <row r="43">
          <cell r="G43">
            <v>16977.72</v>
          </cell>
          <cell r="H43">
            <v>0.23</v>
          </cell>
        </row>
        <row r="44">
          <cell r="G44">
            <v>16192.03</v>
          </cell>
          <cell r="H44">
            <v>0.22</v>
          </cell>
        </row>
        <row r="45">
          <cell r="G45">
            <v>14356.42</v>
          </cell>
          <cell r="H45">
            <v>0.2</v>
          </cell>
        </row>
        <row r="46">
          <cell r="G46">
            <v>1985.5</v>
          </cell>
          <cell r="H46">
            <v>0.03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206686</v>
          </cell>
          <cell r="H10">
            <v>5.95</v>
          </cell>
        </row>
        <row r="11">
          <cell r="G11">
            <v>192958.5</v>
          </cell>
          <cell r="H11">
            <v>5.55</v>
          </cell>
        </row>
        <row r="12">
          <cell r="G12">
            <v>172534.5</v>
          </cell>
          <cell r="H12">
            <v>4.97</v>
          </cell>
        </row>
        <row r="13">
          <cell r="G13">
            <v>166662.9</v>
          </cell>
          <cell r="H13">
            <v>4.8</v>
          </cell>
        </row>
        <row r="14">
          <cell r="G14">
            <v>161644.5</v>
          </cell>
          <cell r="H14">
            <v>4.6500000000000004</v>
          </cell>
        </row>
        <row r="15">
          <cell r="G15">
            <v>154711.9</v>
          </cell>
          <cell r="H15">
            <v>4.45</v>
          </cell>
        </row>
        <row r="16">
          <cell r="G16">
            <v>151306.15</v>
          </cell>
          <cell r="H16">
            <v>4.3499999999999996</v>
          </cell>
        </row>
        <row r="17">
          <cell r="G17">
            <v>149536.79999999999</v>
          </cell>
          <cell r="H17">
            <v>4.3</v>
          </cell>
        </row>
        <row r="18">
          <cell r="G18">
            <v>146312.85</v>
          </cell>
          <cell r="H18">
            <v>4.21</v>
          </cell>
        </row>
        <row r="19">
          <cell r="G19">
            <v>139454.75</v>
          </cell>
          <cell r="H19">
            <v>4.01</v>
          </cell>
        </row>
        <row r="20">
          <cell r="G20">
            <v>138093.9</v>
          </cell>
          <cell r="H20">
            <v>3.97</v>
          </cell>
        </row>
        <row r="21">
          <cell r="G21">
            <v>114736.38</v>
          </cell>
          <cell r="H21">
            <v>3.3</v>
          </cell>
        </row>
        <row r="22">
          <cell r="G22">
            <v>111132.55</v>
          </cell>
          <cell r="H22">
            <v>3.2</v>
          </cell>
        </row>
        <row r="23">
          <cell r="G23">
            <v>103963.46</v>
          </cell>
          <cell r="H23">
            <v>2.99</v>
          </cell>
        </row>
        <row r="24">
          <cell r="G24">
            <v>96795</v>
          </cell>
          <cell r="H24">
            <v>2.79</v>
          </cell>
        </row>
        <row r="25">
          <cell r="G25">
            <v>96392.1</v>
          </cell>
          <cell r="H25">
            <v>2.77</v>
          </cell>
        </row>
        <row r="26">
          <cell r="G26">
            <v>93092.5</v>
          </cell>
          <cell r="H26">
            <v>2.68</v>
          </cell>
        </row>
        <row r="27">
          <cell r="G27">
            <v>87385.2</v>
          </cell>
          <cell r="H27">
            <v>2.5099999999999998</v>
          </cell>
        </row>
        <row r="28">
          <cell r="G28">
            <v>84825.31</v>
          </cell>
          <cell r="H28">
            <v>2.44</v>
          </cell>
        </row>
        <row r="29">
          <cell r="G29">
            <v>67000</v>
          </cell>
          <cell r="H29">
            <v>1.93</v>
          </cell>
        </row>
        <row r="30">
          <cell r="G30">
            <v>66478.5</v>
          </cell>
          <cell r="H30">
            <v>1.91</v>
          </cell>
        </row>
        <row r="31">
          <cell r="G31">
            <v>57211.93</v>
          </cell>
          <cell r="H31">
            <v>1.65</v>
          </cell>
        </row>
        <row r="32">
          <cell r="G32">
            <v>25651.58</v>
          </cell>
          <cell r="H32">
            <v>0.74</v>
          </cell>
        </row>
        <row r="33">
          <cell r="G33">
            <v>8236.1</v>
          </cell>
          <cell r="H33">
            <v>0.24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0">
          <cell r="G10">
            <v>172098.89</v>
          </cell>
          <cell r="H10">
            <v>5.19</v>
          </cell>
        </row>
        <row r="11">
          <cell r="G11">
            <v>132858.09</v>
          </cell>
          <cell r="H11">
            <v>4</v>
          </cell>
        </row>
        <row r="12">
          <cell r="G12">
            <v>110580.3</v>
          </cell>
          <cell r="H12">
            <v>3.33</v>
          </cell>
        </row>
        <row r="13">
          <cell r="G13">
            <v>104337.01</v>
          </cell>
          <cell r="H13">
            <v>3.14</v>
          </cell>
        </row>
        <row r="14">
          <cell r="G14">
            <v>74818.2</v>
          </cell>
          <cell r="H14">
            <v>2.25</v>
          </cell>
        </row>
        <row r="15">
          <cell r="G15">
            <v>71983.16</v>
          </cell>
          <cell r="H15">
            <v>2.17</v>
          </cell>
        </row>
        <row r="16">
          <cell r="G16">
            <v>70748.429999999993</v>
          </cell>
          <cell r="H16">
            <v>2.13</v>
          </cell>
        </row>
        <row r="17">
          <cell r="G17">
            <v>67457.72</v>
          </cell>
          <cell r="H17">
            <v>2.0299999999999998</v>
          </cell>
        </row>
        <row r="18">
          <cell r="G18">
            <v>67022.81</v>
          </cell>
          <cell r="H18">
            <v>2.02</v>
          </cell>
        </row>
        <row r="19">
          <cell r="G19">
            <v>61791</v>
          </cell>
          <cell r="H19">
            <v>1.86</v>
          </cell>
        </row>
        <row r="20">
          <cell r="G20">
            <v>61053.08</v>
          </cell>
          <cell r="H20">
            <v>1.84</v>
          </cell>
        </row>
        <row r="21">
          <cell r="G21">
            <v>59153.2</v>
          </cell>
          <cell r="H21">
            <v>1.78</v>
          </cell>
        </row>
        <row r="22">
          <cell r="G22">
            <v>56243.48</v>
          </cell>
          <cell r="H22">
            <v>1.69</v>
          </cell>
        </row>
        <row r="23">
          <cell r="G23">
            <v>51383.25</v>
          </cell>
          <cell r="H23">
            <v>1.55</v>
          </cell>
        </row>
        <row r="24">
          <cell r="G24">
            <v>48657.35</v>
          </cell>
          <cell r="H24">
            <v>1.47</v>
          </cell>
        </row>
        <row r="25">
          <cell r="G25">
            <v>48570.92</v>
          </cell>
          <cell r="H25">
            <v>1.46</v>
          </cell>
        </row>
        <row r="26">
          <cell r="G26">
            <v>42348.800000000003</v>
          </cell>
          <cell r="H26">
            <v>1.28</v>
          </cell>
        </row>
        <row r="27">
          <cell r="G27">
            <v>40288.85</v>
          </cell>
          <cell r="H27">
            <v>1.21</v>
          </cell>
        </row>
        <row r="28">
          <cell r="G28">
            <v>38775.760000000002</v>
          </cell>
          <cell r="H28">
            <v>1.17</v>
          </cell>
        </row>
        <row r="29">
          <cell r="G29">
            <v>36592.43</v>
          </cell>
          <cell r="H29">
            <v>1.1000000000000001</v>
          </cell>
        </row>
        <row r="30">
          <cell r="G30">
            <v>34354.29</v>
          </cell>
          <cell r="H30">
            <v>1.04</v>
          </cell>
        </row>
        <row r="31">
          <cell r="G31">
            <v>34250.589999999997</v>
          </cell>
          <cell r="H31">
            <v>1.03</v>
          </cell>
        </row>
        <row r="32">
          <cell r="G32">
            <v>33399.94</v>
          </cell>
          <cell r="H32">
            <v>1.01</v>
          </cell>
        </row>
        <row r="33">
          <cell r="G33">
            <v>32778.660000000003</v>
          </cell>
          <cell r="H33">
            <v>0.99</v>
          </cell>
        </row>
        <row r="34">
          <cell r="G34">
            <v>31021.57</v>
          </cell>
          <cell r="H34">
            <v>0.93</v>
          </cell>
        </row>
        <row r="35">
          <cell r="G35">
            <v>30149.439999999999</v>
          </cell>
          <cell r="H35">
            <v>0.91</v>
          </cell>
        </row>
        <row r="36">
          <cell r="G36">
            <v>27970.06</v>
          </cell>
          <cell r="H36">
            <v>0.84</v>
          </cell>
        </row>
        <row r="37">
          <cell r="G37">
            <v>27152.44</v>
          </cell>
          <cell r="H37">
            <v>0.82</v>
          </cell>
        </row>
        <row r="38">
          <cell r="G38">
            <v>27123.17</v>
          </cell>
          <cell r="H38">
            <v>0.82</v>
          </cell>
        </row>
        <row r="39">
          <cell r="G39">
            <v>26255.26</v>
          </cell>
          <cell r="H39">
            <v>0.79</v>
          </cell>
        </row>
        <row r="40">
          <cell r="G40">
            <v>26058.080000000002</v>
          </cell>
          <cell r="H40">
            <v>0.79</v>
          </cell>
        </row>
        <row r="41">
          <cell r="G41">
            <v>26036.94</v>
          </cell>
          <cell r="H41">
            <v>0.78</v>
          </cell>
        </row>
        <row r="42">
          <cell r="G42">
            <v>25478.11</v>
          </cell>
          <cell r="H42">
            <v>0.77</v>
          </cell>
        </row>
        <row r="43">
          <cell r="G43">
            <v>23979.91</v>
          </cell>
          <cell r="H43">
            <v>0.72</v>
          </cell>
        </row>
        <row r="44">
          <cell r="G44">
            <v>23830.22</v>
          </cell>
          <cell r="H44">
            <v>0.72</v>
          </cell>
        </row>
        <row r="45">
          <cell r="G45">
            <v>23142.5</v>
          </cell>
          <cell r="H45">
            <v>0.7</v>
          </cell>
        </row>
        <row r="46">
          <cell r="G46">
            <v>23039.7</v>
          </cell>
          <cell r="H46">
            <v>0.69</v>
          </cell>
        </row>
        <row r="47">
          <cell r="G47">
            <v>22685.85</v>
          </cell>
          <cell r="H47">
            <v>0.68</v>
          </cell>
        </row>
        <row r="48">
          <cell r="G48">
            <v>22392.03</v>
          </cell>
          <cell r="H48">
            <v>0.67</v>
          </cell>
        </row>
        <row r="49">
          <cell r="G49">
            <v>17357.36</v>
          </cell>
          <cell r="H49">
            <v>0.52</v>
          </cell>
        </row>
        <row r="50">
          <cell r="G50">
            <v>16907.02</v>
          </cell>
          <cell r="H50">
            <v>0.51</v>
          </cell>
        </row>
        <row r="51">
          <cell r="G51">
            <v>15171.47</v>
          </cell>
          <cell r="H51">
            <v>0.46</v>
          </cell>
        </row>
        <row r="52">
          <cell r="G52">
            <v>13474.45</v>
          </cell>
          <cell r="H52">
            <v>0.41</v>
          </cell>
        </row>
        <row r="53">
          <cell r="G53">
            <v>13438</v>
          </cell>
          <cell r="H53">
            <v>0.4</v>
          </cell>
        </row>
        <row r="54">
          <cell r="G54">
            <v>10393.26</v>
          </cell>
          <cell r="H54">
            <v>0.31</v>
          </cell>
        </row>
        <row r="55">
          <cell r="G55">
            <v>9933.4699999999993</v>
          </cell>
          <cell r="H55">
            <v>0.3</v>
          </cell>
        </row>
        <row r="56">
          <cell r="G56">
            <v>9733.09</v>
          </cell>
          <cell r="H56">
            <v>0.28999999999999998</v>
          </cell>
        </row>
        <row r="57">
          <cell r="G57">
            <v>8383.06</v>
          </cell>
          <cell r="H57">
            <v>0.25</v>
          </cell>
        </row>
        <row r="58">
          <cell r="G58">
            <v>7505.62</v>
          </cell>
          <cell r="H58">
            <v>0.23</v>
          </cell>
        </row>
        <row r="59">
          <cell r="G59">
            <v>7450.61</v>
          </cell>
          <cell r="H59">
            <v>0.22</v>
          </cell>
        </row>
        <row r="60">
          <cell r="G60">
            <v>7229.96</v>
          </cell>
          <cell r="H60">
            <v>0.22</v>
          </cell>
        </row>
        <row r="61">
          <cell r="G61">
            <v>7161.1</v>
          </cell>
          <cell r="H61">
            <v>0.22</v>
          </cell>
        </row>
        <row r="62">
          <cell r="G62">
            <v>7012.37</v>
          </cell>
          <cell r="H62">
            <v>0.21</v>
          </cell>
        </row>
        <row r="63">
          <cell r="G63">
            <v>6898.39</v>
          </cell>
          <cell r="H63">
            <v>0.21</v>
          </cell>
        </row>
        <row r="64">
          <cell r="G64">
            <v>6353.62</v>
          </cell>
          <cell r="H64">
            <v>0.19</v>
          </cell>
        </row>
        <row r="65">
          <cell r="G65">
            <v>6342.8</v>
          </cell>
          <cell r="H65">
            <v>0.19</v>
          </cell>
        </row>
        <row r="66">
          <cell r="G66">
            <v>6335.09</v>
          </cell>
          <cell r="H66">
            <v>0.19</v>
          </cell>
        </row>
        <row r="67">
          <cell r="G67">
            <v>6333.93</v>
          </cell>
          <cell r="H67">
            <v>0.19</v>
          </cell>
        </row>
        <row r="68">
          <cell r="G68">
            <v>6116.37</v>
          </cell>
          <cell r="H68">
            <v>0.18</v>
          </cell>
        </row>
        <row r="69">
          <cell r="G69">
            <v>5769.04</v>
          </cell>
          <cell r="H69">
            <v>0.17</v>
          </cell>
        </row>
        <row r="70">
          <cell r="G70">
            <v>5196.75</v>
          </cell>
          <cell r="H70">
            <v>0.16</v>
          </cell>
        </row>
        <row r="71">
          <cell r="G71">
            <v>4511.2</v>
          </cell>
          <cell r="H71">
            <v>0.14000000000000001</v>
          </cell>
        </row>
        <row r="72">
          <cell r="G72">
            <v>4494.71</v>
          </cell>
          <cell r="H72">
            <v>0.14000000000000001</v>
          </cell>
        </row>
        <row r="73">
          <cell r="G73">
            <v>4015.36</v>
          </cell>
          <cell r="H73">
            <v>0.12</v>
          </cell>
        </row>
        <row r="74">
          <cell r="G74">
            <v>3589.19</v>
          </cell>
          <cell r="H74">
            <v>0.11</v>
          </cell>
        </row>
        <row r="75">
          <cell r="G75">
            <v>3110.19</v>
          </cell>
          <cell r="H75">
            <v>0.09</v>
          </cell>
        </row>
        <row r="76">
          <cell r="G76">
            <v>2942.49</v>
          </cell>
          <cell r="H76">
            <v>0.09</v>
          </cell>
        </row>
        <row r="77">
          <cell r="G77">
            <v>2908</v>
          </cell>
          <cell r="H77">
            <v>0.09</v>
          </cell>
        </row>
        <row r="78">
          <cell r="G78">
            <v>2728.7</v>
          </cell>
          <cell r="H78">
            <v>0.08</v>
          </cell>
        </row>
        <row r="79">
          <cell r="G79">
            <v>2706.01</v>
          </cell>
          <cell r="H79">
            <v>0.08</v>
          </cell>
        </row>
        <row r="80">
          <cell r="G80">
            <v>2379.39</v>
          </cell>
          <cell r="H80">
            <v>7.0000000000000007E-2</v>
          </cell>
        </row>
        <row r="81">
          <cell r="G81">
            <v>1428.73</v>
          </cell>
          <cell r="H81">
            <v>0.04</v>
          </cell>
        </row>
        <row r="82">
          <cell r="G82">
            <v>1292.45</v>
          </cell>
          <cell r="H82">
            <v>0.04</v>
          </cell>
        </row>
        <row r="83">
          <cell r="G83">
            <v>1276.4000000000001</v>
          </cell>
          <cell r="H83">
            <v>0.04</v>
          </cell>
        </row>
        <row r="84">
          <cell r="G84">
            <v>1105.98</v>
          </cell>
          <cell r="H84">
            <v>0.03</v>
          </cell>
        </row>
        <row r="85">
          <cell r="G85">
            <v>905.51</v>
          </cell>
          <cell r="H85">
            <v>0.03</v>
          </cell>
        </row>
        <row r="86">
          <cell r="G86">
            <v>803.11</v>
          </cell>
          <cell r="H86">
            <v>0.02</v>
          </cell>
        </row>
        <row r="87">
          <cell r="G87">
            <v>771.4</v>
          </cell>
          <cell r="H87">
            <v>0.02</v>
          </cell>
        </row>
        <row r="88">
          <cell r="G88">
            <v>604.37</v>
          </cell>
          <cell r="H88">
            <v>0.02</v>
          </cell>
        </row>
        <row r="89">
          <cell r="G89">
            <v>555</v>
          </cell>
          <cell r="H89">
            <v>0.02</v>
          </cell>
        </row>
        <row r="90">
          <cell r="G90">
            <v>478.02</v>
          </cell>
          <cell r="H90">
            <v>0.01</v>
          </cell>
        </row>
        <row r="91">
          <cell r="G91">
            <v>416.66</v>
          </cell>
          <cell r="H91">
            <v>0.01</v>
          </cell>
        </row>
        <row r="92">
          <cell r="G92">
            <v>398.17</v>
          </cell>
          <cell r="H92">
            <v>0.01</v>
          </cell>
        </row>
        <row r="93">
          <cell r="G93">
            <v>374.24</v>
          </cell>
          <cell r="H93">
            <v>0.01</v>
          </cell>
        </row>
        <row r="94">
          <cell r="G94">
            <v>316.23</v>
          </cell>
          <cell r="H94">
            <v>0.01</v>
          </cell>
        </row>
        <row r="95">
          <cell r="G95">
            <v>276.99</v>
          </cell>
          <cell r="H95">
            <v>0.01</v>
          </cell>
        </row>
        <row r="96">
          <cell r="G96">
            <v>231.93</v>
          </cell>
          <cell r="H96">
            <v>0.01</v>
          </cell>
        </row>
        <row r="97">
          <cell r="G97">
            <v>224.25</v>
          </cell>
          <cell r="H97">
            <v>0.01</v>
          </cell>
        </row>
        <row r="98">
          <cell r="G98">
            <v>138.86000000000001</v>
          </cell>
          <cell r="H98" t="str">
            <v>#</v>
          </cell>
        </row>
        <row r="99">
          <cell r="G99">
            <v>130.31</v>
          </cell>
          <cell r="H99" t="str">
            <v>#</v>
          </cell>
        </row>
        <row r="100">
          <cell r="G100">
            <v>130.30000000000001</v>
          </cell>
          <cell r="H100" t="str">
            <v>#</v>
          </cell>
        </row>
        <row r="101">
          <cell r="G101">
            <v>47.6</v>
          </cell>
          <cell r="H101" t="str">
            <v>#</v>
          </cell>
        </row>
        <row r="102">
          <cell r="G102">
            <v>9.57</v>
          </cell>
          <cell r="H102" t="str">
            <v>#</v>
          </cell>
        </row>
        <row r="103">
          <cell r="G103">
            <v>3.01</v>
          </cell>
          <cell r="H103" t="str">
            <v>#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6012-9F54-4C68-82C3-8A21FA4F941B}">
  <sheetPr codeName="Sheet126"/>
  <dimension ref="A1:IV170"/>
  <sheetViews>
    <sheetView showGridLines="0" tabSelected="1" zoomScale="90" zoomScaleNormal="90" workbookViewId="0">
      <pane ySplit="6" topLeftCell="A151" activePane="bottomLeft" state="frozen"/>
      <selection activeCell="C2" sqref="C2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45626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721000</v>
      </c>
      <c r="G10" s="34">
        <v>12949.52</v>
      </c>
      <c r="H10" s="34">
        <v>1.89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820000</v>
      </c>
      <c r="G11" s="34">
        <v>10596.04</v>
      </c>
      <c r="H11" s="34">
        <v>1.55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1870000</v>
      </c>
      <c r="G12" s="34">
        <v>10149.43</v>
      </c>
      <c r="H12" s="34">
        <v>1.48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4350297</v>
      </c>
      <c r="G13" s="34">
        <v>8677.1</v>
      </c>
      <c r="H13" s="34">
        <v>1.27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1500000</v>
      </c>
      <c r="G14" s="34">
        <v>8667.75</v>
      </c>
      <c r="H14" s="34">
        <v>1.27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20</v>
      </c>
      <c r="F15" s="33">
        <v>950000</v>
      </c>
      <c r="G15" s="34">
        <v>7970.03</v>
      </c>
      <c r="H15" s="34">
        <v>1.1599999999999999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43</v>
      </c>
      <c r="F16" s="33">
        <v>63550</v>
      </c>
      <c r="G16" s="34">
        <v>7933.33</v>
      </c>
      <c r="H16" s="34">
        <v>1.1599999999999999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36</v>
      </c>
      <c r="F17" s="33">
        <v>400000</v>
      </c>
      <c r="G17" s="34">
        <v>7392.2</v>
      </c>
      <c r="H17" s="34">
        <v>1.08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50</v>
      </c>
      <c r="F18" s="33">
        <v>1012032</v>
      </c>
      <c r="G18" s="34">
        <v>7080.68</v>
      </c>
      <c r="H18" s="34">
        <v>1.03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54</v>
      </c>
      <c r="F19" s="33">
        <v>1374277</v>
      </c>
      <c r="G19" s="34">
        <v>7075.47</v>
      </c>
      <c r="H19" s="34">
        <v>1.03</v>
      </c>
      <c r="I19" s="35"/>
      <c r="J19" s="35"/>
      <c r="K19" s="36"/>
    </row>
    <row r="20" spans="2:11" x14ac:dyDescent="0.35">
      <c r="B20" s="1" t="s">
        <v>55</v>
      </c>
      <c r="C20" s="21" t="s">
        <v>56</v>
      </c>
      <c r="D20" s="31" t="s">
        <v>57</v>
      </c>
      <c r="E20" s="32" t="s">
        <v>36</v>
      </c>
      <c r="F20" s="33">
        <v>380000</v>
      </c>
      <c r="G20" s="34">
        <v>7059.83</v>
      </c>
      <c r="H20" s="34">
        <v>1.03</v>
      </c>
      <c r="I20" s="35"/>
      <c r="J20" s="35"/>
      <c r="K20" s="36"/>
    </row>
    <row r="21" spans="2:11" x14ac:dyDescent="0.35">
      <c r="B21" s="1" t="s">
        <v>58</v>
      </c>
      <c r="C21" s="21" t="s">
        <v>59</v>
      </c>
      <c r="D21" s="31" t="s">
        <v>60</v>
      </c>
      <c r="E21" s="32" t="s">
        <v>54</v>
      </c>
      <c r="F21" s="33">
        <v>381643</v>
      </c>
      <c r="G21" s="34">
        <v>7056.58</v>
      </c>
      <c r="H21" s="34">
        <v>1.03</v>
      </c>
      <c r="I21" s="35"/>
      <c r="J21" s="35"/>
      <c r="K21" s="36"/>
    </row>
    <row r="22" spans="2:11" x14ac:dyDescent="0.35">
      <c r="B22" s="1" t="s">
        <v>61</v>
      </c>
      <c r="C22" s="21" t="s">
        <v>62</v>
      </c>
      <c r="D22" s="31" t="s">
        <v>63</v>
      </c>
      <c r="E22" s="32" t="s">
        <v>64</v>
      </c>
      <c r="F22" s="33">
        <v>1000000</v>
      </c>
      <c r="G22" s="34">
        <v>6840</v>
      </c>
      <c r="H22" s="34">
        <v>1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68</v>
      </c>
      <c r="F23" s="33">
        <v>711574</v>
      </c>
      <c r="G23" s="34">
        <v>6678.12</v>
      </c>
      <c r="H23" s="34">
        <v>0.98</v>
      </c>
      <c r="I23" s="35"/>
      <c r="J23" s="35"/>
      <c r="K23" s="36"/>
    </row>
    <row r="24" spans="2:11" x14ac:dyDescent="0.35">
      <c r="B24" s="1" t="s">
        <v>69</v>
      </c>
      <c r="C24" s="21" t="s">
        <v>70</v>
      </c>
      <c r="D24" s="31" t="s">
        <v>71</v>
      </c>
      <c r="E24" s="32" t="s">
        <v>72</v>
      </c>
      <c r="F24" s="33">
        <v>5630100</v>
      </c>
      <c r="G24" s="34">
        <v>6593.41</v>
      </c>
      <c r="H24" s="34">
        <v>0.96</v>
      </c>
      <c r="I24" s="35"/>
      <c r="J24" s="35"/>
      <c r="K24" s="36"/>
    </row>
    <row r="25" spans="2:11" x14ac:dyDescent="0.35">
      <c r="B25" s="1" t="s">
        <v>73</v>
      </c>
      <c r="C25" s="21" t="s">
        <v>74</v>
      </c>
      <c r="D25" s="31" t="s">
        <v>75</v>
      </c>
      <c r="E25" s="32" t="s">
        <v>76</v>
      </c>
      <c r="F25" s="33">
        <v>2500000</v>
      </c>
      <c r="G25" s="34">
        <v>6417.5</v>
      </c>
      <c r="H25" s="34">
        <v>0.94</v>
      </c>
      <c r="I25" s="35"/>
      <c r="J25" s="35"/>
      <c r="K25" s="36"/>
    </row>
    <row r="26" spans="2:11" x14ac:dyDescent="0.35">
      <c r="B26" s="1" t="s">
        <v>77</v>
      </c>
      <c r="C26" s="21" t="s">
        <v>78</v>
      </c>
      <c r="D26" s="31" t="s">
        <v>79</v>
      </c>
      <c r="E26" s="32" t="s">
        <v>80</v>
      </c>
      <c r="F26" s="33">
        <v>2500000</v>
      </c>
      <c r="G26" s="34">
        <v>6236.75</v>
      </c>
      <c r="H26" s="34">
        <v>0.91</v>
      </c>
      <c r="I26" s="35"/>
      <c r="J26" s="35"/>
      <c r="K26" s="36"/>
    </row>
    <row r="27" spans="2:11" x14ac:dyDescent="0.35">
      <c r="B27" s="1" t="s">
        <v>81</v>
      </c>
      <c r="C27" s="21" t="s">
        <v>82</v>
      </c>
      <c r="D27" s="31" t="s">
        <v>83</v>
      </c>
      <c r="E27" s="32" t="s">
        <v>84</v>
      </c>
      <c r="F27" s="33">
        <v>3500000</v>
      </c>
      <c r="G27" s="34">
        <v>6166.65</v>
      </c>
      <c r="H27" s="34">
        <v>0.9</v>
      </c>
      <c r="I27" s="35"/>
      <c r="J27" s="35"/>
      <c r="K27" s="36"/>
    </row>
    <row r="28" spans="2:11" x14ac:dyDescent="0.35">
      <c r="B28" s="1" t="s">
        <v>85</v>
      </c>
      <c r="C28" s="21" t="s">
        <v>86</v>
      </c>
      <c r="D28" s="31" t="s">
        <v>87</v>
      </c>
      <c r="E28" s="32" t="s">
        <v>20</v>
      </c>
      <c r="F28" s="33">
        <v>3500000</v>
      </c>
      <c r="G28" s="34">
        <v>5917.8</v>
      </c>
      <c r="H28" s="34">
        <v>0.86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91</v>
      </c>
      <c r="F29" s="33">
        <v>3300000</v>
      </c>
      <c r="G29" s="34">
        <v>5677.98</v>
      </c>
      <c r="H29" s="34">
        <v>0.83</v>
      </c>
      <c r="I29" s="35"/>
      <c r="J29" s="35"/>
      <c r="K29" s="36"/>
    </row>
    <row r="30" spans="2:11" x14ac:dyDescent="0.35">
      <c r="B30" s="1" t="s">
        <v>92</v>
      </c>
      <c r="C30" s="21" t="s">
        <v>93</v>
      </c>
      <c r="D30" s="31" t="s">
        <v>94</v>
      </c>
      <c r="E30" s="32" t="s">
        <v>95</v>
      </c>
      <c r="F30" s="33">
        <v>3000000</v>
      </c>
      <c r="G30" s="34">
        <v>5219.3999999999996</v>
      </c>
      <c r="H30" s="34">
        <v>0.76</v>
      </c>
      <c r="I30" s="35"/>
      <c r="J30" s="35"/>
      <c r="K30" s="36"/>
    </row>
    <row r="31" spans="2:11" x14ac:dyDescent="0.35">
      <c r="B31" s="1" t="s">
        <v>96</v>
      </c>
      <c r="C31" s="21" t="s">
        <v>97</v>
      </c>
      <c r="D31" s="31" t="s">
        <v>98</v>
      </c>
      <c r="E31" s="32" t="s">
        <v>99</v>
      </c>
      <c r="F31" s="33">
        <v>6000000</v>
      </c>
      <c r="G31" s="34">
        <v>5211.6000000000004</v>
      </c>
      <c r="H31" s="34">
        <v>0.76</v>
      </c>
      <c r="I31" s="35"/>
      <c r="J31" s="35"/>
      <c r="K31" s="36"/>
    </row>
    <row r="32" spans="2:11" x14ac:dyDescent="0.35">
      <c r="B32" s="1" t="s">
        <v>100</v>
      </c>
      <c r="C32" s="21" t="s">
        <v>101</v>
      </c>
      <c r="D32" s="31" t="s">
        <v>102</v>
      </c>
      <c r="E32" s="32" t="s">
        <v>50</v>
      </c>
      <c r="F32" s="33">
        <v>500000</v>
      </c>
      <c r="G32" s="34">
        <v>4927.5</v>
      </c>
      <c r="H32" s="34">
        <v>0.72</v>
      </c>
      <c r="I32" s="35"/>
      <c r="J32" s="35"/>
      <c r="K32" s="36"/>
    </row>
    <row r="33" spans="2:11" x14ac:dyDescent="0.35">
      <c r="B33" s="1" t="s">
        <v>103</v>
      </c>
      <c r="C33" s="21" t="s">
        <v>104</v>
      </c>
      <c r="D33" s="31" t="s">
        <v>105</v>
      </c>
      <c r="E33" s="32" t="s">
        <v>106</v>
      </c>
      <c r="F33" s="33">
        <v>2201600</v>
      </c>
      <c r="G33" s="34">
        <v>4754.8</v>
      </c>
      <c r="H33" s="34">
        <v>0.69</v>
      </c>
      <c r="I33" s="35"/>
      <c r="J33" s="35"/>
      <c r="K33" s="36"/>
    </row>
    <row r="34" spans="2:11" x14ac:dyDescent="0.35">
      <c r="B34" s="1" t="s">
        <v>107</v>
      </c>
      <c r="C34" s="21" t="s">
        <v>108</v>
      </c>
      <c r="D34" s="31" t="s">
        <v>109</v>
      </c>
      <c r="E34" s="32" t="s">
        <v>20</v>
      </c>
      <c r="F34" s="33">
        <v>761421</v>
      </c>
      <c r="G34" s="34">
        <v>4372.84</v>
      </c>
      <c r="H34" s="34">
        <v>0.64</v>
      </c>
      <c r="I34" s="35"/>
      <c r="J34" s="35"/>
      <c r="K34" s="36"/>
    </row>
    <row r="35" spans="2:11" x14ac:dyDescent="0.35">
      <c r="B35" s="1" t="s">
        <v>110</v>
      </c>
      <c r="C35" s="21" t="s">
        <v>111</v>
      </c>
      <c r="D35" s="31" t="s">
        <v>112</v>
      </c>
      <c r="E35" s="32" t="s">
        <v>20</v>
      </c>
      <c r="F35" s="33">
        <v>4000000</v>
      </c>
      <c r="G35" s="34">
        <v>4196</v>
      </c>
      <c r="H35" s="34">
        <v>0.61</v>
      </c>
      <c r="I35" s="35"/>
      <c r="J35" s="35"/>
      <c r="K35" s="36"/>
    </row>
    <row r="36" spans="2:11" x14ac:dyDescent="0.35">
      <c r="B36" s="1" t="s">
        <v>113</v>
      </c>
      <c r="C36" s="21" t="s">
        <v>114</v>
      </c>
      <c r="D36" s="31" t="s">
        <v>115</v>
      </c>
      <c r="E36" s="32" t="s">
        <v>20</v>
      </c>
      <c r="F36" s="33">
        <v>320000</v>
      </c>
      <c r="G36" s="34">
        <v>4160.32</v>
      </c>
      <c r="H36" s="34">
        <v>0.61</v>
      </c>
      <c r="I36" s="35"/>
      <c r="J36" s="35"/>
      <c r="K36" s="36"/>
    </row>
    <row r="37" spans="2:11" x14ac:dyDescent="0.35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430000</v>
      </c>
      <c r="G37" s="34">
        <v>4136.82</v>
      </c>
      <c r="H37" s="34">
        <v>0.6</v>
      </c>
      <c r="I37" s="35"/>
      <c r="J37" s="35"/>
      <c r="K37" s="36"/>
    </row>
    <row r="38" spans="2:11" x14ac:dyDescent="0.35">
      <c r="B38" s="1" t="s">
        <v>120</v>
      </c>
      <c r="C38" s="21" t="s">
        <v>121</v>
      </c>
      <c r="D38" s="31" t="s">
        <v>122</v>
      </c>
      <c r="E38" s="32" t="s">
        <v>99</v>
      </c>
      <c r="F38" s="33">
        <v>639295</v>
      </c>
      <c r="G38" s="34">
        <v>4120.58</v>
      </c>
      <c r="H38" s="34">
        <v>0.6</v>
      </c>
      <c r="I38" s="35"/>
      <c r="J38" s="35"/>
      <c r="K38" s="36"/>
    </row>
    <row r="39" spans="2:11" x14ac:dyDescent="0.35">
      <c r="B39" s="1" t="s">
        <v>123</v>
      </c>
      <c r="C39" s="21" t="s">
        <v>124</v>
      </c>
      <c r="D39" s="31" t="s">
        <v>125</v>
      </c>
      <c r="E39" s="32" t="s">
        <v>80</v>
      </c>
      <c r="F39" s="33">
        <v>352916</v>
      </c>
      <c r="G39" s="34">
        <v>4023.42</v>
      </c>
      <c r="H39" s="34">
        <v>0.59</v>
      </c>
      <c r="I39" s="35"/>
      <c r="J39" s="35"/>
      <c r="K39" s="36"/>
    </row>
    <row r="40" spans="2:11" x14ac:dyDescent="0.35">
      <c r="B40" s="1" t="s">
        <v>126</v>
      </c>
      <c r="C40" s="21" t="s">
        <v>127</v>
      </c>
      <c r="D40" s="31" t="s">
        <v>128</v>
      </c>
      <c r="E40" s="32" t="s">
        <v>129</v>
      </c>
      <c r="F40" s="33">
        <v>738287</v>
      </c>
      <c r="G40" s="34">
        <v>3653.78</v>
      </c>
      <c r="H40" s="34">
        <v>0.53</v>
      </c>
      <c r="I40" s="35"/>
      <c r="J40" s="35"/>
      <c r="K40" s="36"/>
    </row>
    <row r="41" spans="2:11" x14ac:dyDescent="0.35">
      <c r="B41" s="1" t="s">
        <v>130</v>
      </c>
      <c r="C41" s="21" t="s">
        <v>131</v>
      </c>
      <c r="D41" s="31" t="s">
        <v>132</v>
      </c>
      <c r="E41" s="32" t="s">
        <v>20</v>
      </c>
      <c r="F41" s="33">
        <v>1960755</v>
      </c>
      <c r="G41" s="34">
        <v>3520.14</v>
      </c>
      <c r="H41" s="34">
        <v>0.51</v>
      </c>
      <c r="I41" s="35"/>
      <c r="J41" s="35"/>
      <c r="K41" s="36"/>
    </row>
    <row r="42" spans="2:11" x14ac:dyDescent="0.35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70000</v>
      </c>
      <c r="G42" s="34">
        <v>3458.81</v>
      </c>
      <c r="H42" s="34">
        <v>0.51</v>
      </c>
      <c r="I42" s="35"/>
      <c r="J42" s="35"/>
      <c r="K42" s="36"/>
    </row>
    <row r="43" spans="2:11" x14ac:dyDescent="0.35">
      <c r="B43" s="1" t="s">
        <v>137</v>
      </c>
      <c r="C43" s="21" t="s">
        <v>138</v>
      </c>
      <c r="D43" s="31" t="s">
        <v>139</v>
      </c>
      <c r="E43" s="32" t="s">
        <v>91</v>
      </c>
      <c r="F43" s="33">
        <v>85000</v>
      </c>
      <c r="G43" s="34">
        <v>3360.9</v>
      </c>
      <c r="H43" s="34">
        <v>0.49</v>
      </c>
      <c r="I43" s="35"/>
      <c r="J43" s="35"/>
      <c r="K43" s="36"/>
    </row>
    <row r="44" spans="2:11" x14ac:dyDescent="0.35">
      <c r="B44" s="1" t="s">
        <v>140</v>
      </c>
      <c r="C44" s="21" t="s">
        <v>141</v>
      </c>
      <c r="D44" s="31" t="s">
        <v>142</v>
      </c>
      <c r="E44" s="32" t="s">
        <v>36</v>
      </c>
      <c r="F44" s="33">
        <v>50000</v>
      </c>
      <c r="G44" s="34">
        <v>3086.2</v>
      </c>
      <c r="H44" s="34">
        <v>0.45</v>
      </c>
      <c r="I44" s="35"/>
      <c r="J44" s="35"/>
      <c r="K44" s="36"/>
    </row>
    <row r="45" spans="2:11" x14ac:dyDescent="0.35">
      <c r="B45" s="1" t="s">
        <v>143</v>
      </c>
      <c r="C45" s="21" t="s">
        <v>144</v>
      </c>
      <c r="D45" s="31" t="s">
        <v>145</v>
      </c>
      <c r="E45" s="32" t="s">
        <v>146</v>
      </c>
      <c r="F45" s="33">
        <v>525000</v>
      </c>
      <c r="G45" s="34">
        <v>2977.54</v>
      </c>
      <c r="H45" s="34">
        <v>0.44</v>
      </c>
      <c r="I45" s="35"/>
      <c r="J45" s="35"/>
      <c r="K45" s="36"/>
    </row>
    <row r="46" spans="2:11" x14ac:dyDescent="0.35">
      <c r="B46" s="1" t="s">
        <v>147</v>
      </c>
      <c r="C46" s="21" t="s">
        <v>148</v>
      </c>
      <c r="D46" s="31" t="s">
        <v>149</v>
      </c>
      <c r="E46" s="32" t="s">
        <v>106</v>
      </c>
      <c r="F46" s="33">
        <v>1300000</v>
      </c>
      <c r="G46" s="34">
        <v>2827.63</v>
      </c>
      <c r="H46" s="34">
        <v>0.41</v>
      </c>
      <c r="I46" s="35"/>
      <c r="J46" s="35"/>
      <c r="K46" s="36"/>
    </row>
    <row r="47" spans="2:11" x14ac:dyDescent="0.35">
      <c r="B47" s="1" t="s">
        <v>150</v>
      </c>
      <c r="C47" s="21" t="s">
        <v>151</v>
      </c>
      <c r="D47" s="31" t="s">
        <v>152</v>
      </c>
      <c r="E47" s="32" t="s">
        <v>36</v>
      </c>
      <c r="F47" s="33">
        <v>165000</v>
      </c>
      <c r="G47" s="34">
        <v>2825.3</v>
      </c>
      <c r="H47" s="34">
        <v>0.41</v>
      </c>
      <c r="I47" s="35"/>
      <c r="J47" s="35"/>
      <c r="K47" s="36"/>
    </row>
    <row r="48" spans="2:11" x14ac:dyDescent="0.35">
      <c r="B48" s="1" t="s">
        <v>153</v>
      </c>
      <c r="C48" s="21" t="s">
        <v>154</v>
      </c>
      <c r="D48" s="31" t="s">
        <v>155</v>
      </c>
      <c r="E48" s="32" t="s">
        <v>156</v>
      </c>
      <c r="F48" s="33">
        <v>179171</v>
      </c>
      <c r="G48" s="34">
        <v>2739.7</v>
      </c>
      <c r="H48" s="34">
        <v>0.4</v>
      </c>
      <c r="I48" s="35"/>
      <c r="J48" s="35"/>
      <c r="K48" s="36"/>
    </row>
    <row r="49" spans="2:11" x14ac:dyDescent="0.35">
      <c r="B49" s="1" t="s">
        <v>157</v>
      </c>
      <c r="C49" s="21" t="s">
        <v>158</v>
      </c>
      <c r="D49" s="31" t="s">
        <v>159</v>
      </c>
      <c r="E49" s="32" t="s">
        <v>129</v>
      </c>
      <c r="F49" s="33">
        <v>829665</v>
      </c>
      <c r="G49" s="34">
        <v>2619.25</v>
      </c>
      <c r="H49" s="34">
        <v>0.38</v>
      </c>
      <c r="I49" s="35"/>
      <c r="J49" s="35"/>
      <c r="K49" s="36"/>
    </row>
    <row r="50" spans="2:11" x14ac:dyDescent="0.35">
      <c r="B50" s="1" t="s">
        <v>160</v>
      </c>
      <c r="C50" s="21" t="s">
        <v>161</v>
      </c>
      <c r="D50" s="31" t="s">
        <v>162</v>
      </c>
      <c r="E50" s="32" t="s">
        <v>163</v>
      </c>
      <c r="F50" s="33">
        <v>160000</v>
      </c>
      <c r="G50" s="34">
        <v>2603.44</v>
      </c>
      <c r="H50" s="34">
        <v>0.38</v>
      </c>
      <c r="I50" s="35"/>
      <c r="J50" s="35"/>
      <c r="K50" s="36"/>
    </row>
    <row r="51" spans="2:11" x14ac:dyDescent="0.35">
      <c r="B51" s="1" t="s">
        <v>164</v>
      </c>
      <c r="C51" s="21" t="s">
        <v>165</v>
      </c>
      <c r="D51" s="31" t="s">
        <v>166</v>
      </c>
      <c r="E51" s="32" t="s">
        <v>146</v>
      </c>
      <c r="F51" s="33">
        <v>147079</v>
      </c>
      <c r="G51" s="34">
        <v>2556.23</v>
      </c>
      <c r="H51" s="34">
        <v>0.37</v>
      </c>
      <c r="I51" s="35"/>
      <c r="J51" s="35"/>
      <c r="K51" s="36"/>
    </row>
    <row r="52" spans="2:11" x14ac:dyDescent="0.35">
      <c r="B52" s="1" t="s">
        <v>167</v>
      </c>
      <c r="C52" s="21" t="s">
        <v>168</v>
      </c>
      <c r="D52" s="31" t="s">
        <v>169</v>
      </c>
      <c r="E52" s="32" t="s">
        <v>84</v>
      </c>
      <c r="F52" s="33">
        <v>56794</v>
      </c>
      <c r="G52" s="34">
        <v>2387.7600000000002</v>
      </c>
      <c r="H52" s="34">
        <v>0.35</v>
      </c>
      <c r="I52" s="35"/>
      <c r="J52" s="35"/>
      <c r="K52" s="36"/>
    </row>
    <row r="53" spans="2:11" x14ac:dyDescent="0.35">
      <c r="B53" s="1" t="s">
        <v>170</v>
      </c>
      <c r="C53" s="21" t="s">
        <v>171</v>
      </c>
      <c r="D53" s="31" t="s">
        <v>172</v>
      </c>
      <c r="E53" s="32" t="s">
        <v>20</v>
      </c>
      <c r="F53" s="33">
        <v>3465000</v>
      </c>
      <c r="G53" s="34">
        <v>2159.73</v>
      </c>
      <c r="H53" s="34">
        <v>0.32</v>
      </c>
      <c r="I53" s="35"/>
      <c r="J53" s="35"/>
      <c r="K53" s="36"/>
    </row>
    <row r="54" spans="2:11" x14ac:dyDescent="0.35">
      <c r="B54" s="1" t="s">
        <v>173</v>
      </c>
      <c r="C54" s="21" t="s">
        <v>174</v>
      </c>
      <c r="D54" s="31" t="s">
        <v>175</v>
      </c>
      <c r="E54" s="32" t="s">
        <v>176</v>
      </c>
      <c r="F54" s="33">
        <v>500000</v>
      </c>
      <c r="G54" s="34">
        <v>1662.5</v>
      </c>
      <c r="H54" s="34">
        <v>0.24</v>
      </c>
      <c r="I54" s="35"/>
      <c r="J54" s="35"/>
      <c r="K54" s="36"/>
    </row>
    <row r="55" spans="2:11" x14ac:dyDescent="0.35">
      <c r="B55" s="1" t="s">
        <v>177</v>
      </c>
      <c r="C55" s="21" t="s">
        <v>178</v>
      </c>
      <c r="D55" s="31" t="s">
        <v>179</v>
      </c>
      <c r="E55" s="32" t="s">
        <v>54</v>
      </c>
      <c r="F55" s="33">
        <v>681540</v>
      </c>
      <c r="G55" s="34">
        <v>1489.23</v>
      </c>
      <c r="H55" s="34">
        <v>0.22</v>
      </c>
      <c r="I55" s="35"/>
      <c r="J55" s="35"/>
      <c r="K55" s="36"/>
    </row>
    <row r="56" spans="2:11" x14ac:dyDescent="0.35">
      <c r="B56" s="1" t="s">
        <v>180</v>
      </c>
      <c r="C56" s="21" t="s">
        <v>181</v>
      </c>
      <c r="D56" s="31" t="s">
        <v>182</v>
      </c>
      <c r="E56" s="32" t="s">
        <v>183</v>
      </c>
      <c r="F56" s="33">
        <v>75000</v>
      </c>
      <c r="G56" s="34">
        <v>1155.04</v>
      </c>
      <c r="H56" s="34">
        <v>0.17</v>
      </c>
      <c r="I56" s="35"/>
      <c r="J56" s="35"/>
      <c r="K56" s="36"/>
    </row>
    <row r="57" spans="2:11" x14ac:dyDescent="0.35">
      <c r="B57" s="1" t="s">
        <v>184</v>
      </c>
      <c r="C57" s="21" t="s">
        <v>185</v>
      </c>
      <c r="D57" s="31" t="s">
        <v>186</v>
      </c>
      <c r="E57" s="32" t="s">
        <v>20</v>
      </c>
      <c r="F57" s="33">
        <v>100000</v>
      </c>
      <c r="G57" s="34">
        <v>1136.3</v>
      </c>
      <c r="H57" s="34">
        <v>0.17</v>
      </c>
      <c r="I57" s="35"/>
      <c r="J57" s="35"/>
      <c r="K57" s="36"/>
    </row>
    <row r="58" spans="2:11" x14ac:dyDescent="0.35">
      <c r="B58" s="1" t="s">
        <v>187</v>
      </c>
      <c r="C58" s="21" t="s">
        <v>188</v>
      </c>
      <c r="D58" s="31" t="s">
        <v>189</v>
      </c>
      <c r="E58" s="32" t="s">
        <v>146</v>
      </c>
      <c r="F58" s="33">
        <v>179403</v>
      </c>
      <c r="G58" s="34">
        <v>655.09</v>
      </c>
      <c r="H58" s="34">
        <v>0.1</v>
      </c>
      <c r="I58" s="35"/>
      <c r="J58" s="35"/>
      <c r="K58" s="36"/>
    </row>
    <row r="59" spans="2:11" x14ac:dyDescent="0.35">
      <c r="B59" s="1" t="s">
        <v>190</v>
      </c>
      <c r="C59" s="21" t="s">
        <v>191</v>
      </c>
      <c r="D59" s="31" t="s">
        <v>192</v>
      </c>
      <c r="E59" s="32" t="s">
        <v>106</v>
      </c>
      <c r="F59" s="33">
        <v>22541</v>
      </c>
      <c r="G59" s="34">
        <v>79.06</v>
      </c>
      <c r="H59" s="34">
        <v>0.01</v>
      </c>
      <c r="I59" s="35"/>
      <c r="J59" s="35"/>
      <c r="K59" s="36"/>
    </row>
    <row r="60" spans="2:11" x14ac:dyDescent="0.35">
      <c r="C60" s="30" t="s">
        <v>193</v>
      </c>
      <c r="D60" s="31"/>
      <c r="E60" s="32"/>
      <c r="F60" s="33"/>
      <c r="G60" s="38">
        <f>SUM(XDO_?FINAL_MV?151?)</f>
        <v>245213.08000000005</v>
      </c>
      <c r="H60" s="38">
        <f>SUM(XDO_?FINAL_PER_NET?151?)</f>
        <v>35.800000000000004</v>
      </c>
      <c r="I60" s="35"/>
      <c r="J60" s="35"/>
      <c r="K60" s="36"/>
    </row>
    <row r="61" spans="2:11" x14ac:dyDescent="0.35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5">
      <c r="C62" s="30" t="s">
        <v>194</v>
      </c>
      <c r="D62" s="31"/>
      <c r="E62" s="32"/>
      <c r="F62" s="33"/>
      <c r="G62" s="34" t="s">
        <v>195</v>
      </c>
      <c r="H62" s="34" t="s">
        <v>195</v>
      </c>
      <c r="I62" s="35"/>
      <c r="J62" s="35"/>
      <c r="K62" s="36"/>
    </row>
    <row r="63" spans="2:11" x14ac:dyDescent="0.35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5">
      <c r="C64" s="30" t="s">
        <v>196</v>
      </c>
      <c r="D64" s="31"/>
      <c r="E64" s="32"/>
      <c r="F64" s="33"/>
      <c r="G64" s="34" t="s">
        <v>195</v>
      </c>
      <c r="H64" s="34" t="s">
        <v>195</v>
      </c>
      <c r="I64" s="35"/>
      <c r="J64" s="35"/>
      <c r="K64" s="36"/>
    </row>
    <row r="65" spans="1:11" x14ac:dyDescent="0.35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5">
      <c r="C66" s="37" t="s">
        <v>197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5">
      <c r="B67" s="1" t="s">
        <v>198</v>
      </c>
      <c r="C67" s="21" t="s">
        <v>199</v>
      </c>
      <c r="D67" s="31" t="s">
        <v>200</v>
      </c>
      <c r="E67" s="32" t="s">
        <v>201</v>
      </c>
      <c r="F67" s="33">
        <v>2600000</v>
      </c>
      <c r="G67" s="34">
        <v>3135.6</v>
      </c>
      <c r="H67" s="34">
        <v>0.46</v>
      </c>
      <c r="I67" s="35"/>
      <c r="J67" s="35"/>
      <c r="K67" s="36"/>
    </row>
    <row r="68" spans="1:11" x14ac:dyDescent="0.35">
      <c r="C68" s="30" t="s">
        <v>193</v>
      </c>
      <c r="D68" s="31"/>
      <c r="E68" s="32"/>
      <c r="F68" s="33"/>
      <c r="G68" s="38">
        <v>3135.6</v>
      </c>
      <c r="H68" s="38">
        <v>0.46</v>
      </c>
      <c r="I68" s="35"/>
      <c r="J68" s="35"/>
      <c r="K68" s="36"/>
    </row>
    <row r="69" spans="1:11" x14ac:dyDescent="0.35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5">
      <c r="C70" s="37" t="s">
        <v>202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5">
      <c r="B71" s="1" t="s">
        <v>203</v>
      </c>
      <c r="C71" s="21" t="s">
        <v>204</v>
      </c>
      <c r="D71" s="31" t="s">
        <v>205</v>
      </c>
      <c r="E71" s="32" t="s">
        <v>129</v>
      </c>
      <c r="F71" s="33">
        <v>2900000</v>
      </c>
      <c r="G71" s="34">
        <v>10771.47</v>
      </c>
      <c r="H71" s="34">
        <v>1.57</v>
      </c>
      <c r="I71" s="35"/>
      <c r="J71" s="35"/>
      <c r="K71" s="36"/>
    </row>
    <row r="72" spans="1:11" x14ac:dyDescent="0.35">
      <c r="C72" s="30" t="s">
        <v>193</v>
      </c>
      <c r="D72" s="31"/>
      <c r="E72" s="32"/>
      <c r="F72" s="33"/>
      <c r="G72" s="38">
        <v>10771.47</v>
      </c>
      <c r="H72" s="38">
        <v>1.57</v>
      </c>
      <c r="I72" s="35"/>
      <c r="J72" s="35"/>
      <c r="K72" s="36"/>
    </row>
    <row r="73" spans="1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5">
      <c r="C74" s="37" t="s">
        <v>206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35">
      <c r="B75" s="1" t="s">
        <v>207</v>
      </c>
      <c r="C75" s="21" t="s">
        <v>208</v>
      </c>
      <c r="D75" s="31" t="s">
        <v>209</v>
      </c>
      <c r="E75" s="32" t="s">
        <v>210</v>
      </c>
      <c r="F75" s="33">
        <v>6000</v>
      </c>
      <c r="G75" s="34">
        <v>6149.81</v>
      </c>
      <c r="H75" s="34">
        <v>0.9</v>
      </c>
      <c r="I75" s="35">
        <v>8.2899999999999991</v>
      </c>
      <c r="J75" s="35"/>
      <c r="K75" s="36" t="s">
        <v>211</v>
      </c>
    </row>
    <row r="76" spans="1:11" x14ac:dyDescent="0.35">
      <c r="C76" s="30" t="s">
        <v>193</v>
      </c>
      <c r="D76" s="31"/>
      <c r="E76" s="32"/>
      <c r="F76" s="33"/>
      <c r="G76" s="38">
        <v>6149.81</v>
      </c>
      <c r="H76" s="38">
        <v>0.9</v>
      </c>
      <c r="I76" s="35"/>
      <c r="J76" s="35"/>
      <c r="K76" s="36"/>
    </row>
    <row r="77" spans="1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5">
      <c r="A78" s="28"/>
      <c r="B78" s="29"/>
      <c r="C78" s="30" t="s">
        <v>212</v>
      </c>
      <c r="D78" s="31"/>
      <c r="E78" s="32"/>
      <c r="F78" s="33"/>
      <c r="G78" s="34"/>
      <c r="H78" s="34"/>
      <c r="I78" s="35"/>
      <c r="J78" s="35"/>
      <c r="K78" s="36"/>
    </row>
    <row r="79" spans="1:11" x14ac:dyDescent="0.35">
      <c r="C79" s="37" t="s">
        <v>213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5">
      <c r="B80" s="1" t="s">
        <v>214</v>
      </c>
      <c r="C80" s="21" t="s">
        <v>215</v>
      </c>
      <c r="D80" s="31" t="s">
        <v>216</v>
      </c>
      <c r="E80" s="32" t="s">
        <v>217</v>
      </c>
      <c r="F80" s="33">
        <v>20000</v>
      </c>
      <c r="G80" s="34">
        <v>20178.36</v>
      </c>
      <c r="H80" s="34">
        <v>2.95</v>
      </c>
      <c r="I80" s="35">
        <v>8.5150000000000006</v>
      </c>
      <c r="J80" s="35"/>
      <c r="K80" s="36" t="s">
        <v>211</v>
      </c>
    </row>
    <row r="81" spans="2:11" x14ac:dyDescent="0.35">
      <c r="B81" s="1" t="s">
        <v>218</v>
      </c>
      <c r="C81" s="21" t="s">
        <v>219</v>
      </c>
      <c r="D81" s="31" t="s">
        <v>220</v>
      </c>
      <c r="E81" s="32" t="s">
        <v>221</v>
      </c>
      <c r="F81" s="33">
        <v>20000</v>
      </c>
      <c r="G81" s="34">
        <v>20117.900000000001</v>
      </c>
      <c r="H81" s="34">
        <v>2.94</v>
      </c>
      <c r="I81" s="35">
        <v>8.3350000000000009</v>
      </c>
      <c r="J81" s="35"/>
      <c r="K81" s="36" t="s">
        <v>211</v>
      </c>
    </row>
    <row r="82" spans="2:11" x14ac:dyDescent="0.35">
      <c r="B82" s="1" t="s">
        <v>222</v>
      </c>
      <c r="C82" s="21" t="s">
        <v>223</v>
      </c>
      <c r="D82" s="31" t="s">
        <v>224</v>
      </c>
      <c r="E82" s="32" t="s">
        <v>225</v>
      </c>
      <c r="F82" s="33">
        <v>20000</v>
      </c>
      <c r="G82" s="34">
        <v>20037.740000000002</v>
      </c>
      <c r="H82" s="34">
        <v>2.93</v>
      </c>
      <c r="I82" s="35">
        <v>7.8147000000000002</v>
      </c>
      <c r="J82" s="35"/>
      <c r="K82" s="36" t="s">
        <v>211</v>
      </c>
    </row>
    <row r="83" spans="2:11" x14ac:dyDescent="0.35">
      <c r="B83" s="1" t="s">
        <v>226</v>
      </c>
      <c r="C83" s="21" t="s">
        <v>227</v>
      </c>
      <c r="D83" s="31" t="s">
        <v>228</v>
      </c>
      <c r="E83" s="32" t="s">
        <v>229</v>
      </c>
      <c r="F83" s="33">
        <v>16000</v>
      </c>
      <c r="G83" s="34">
        <v>16047.01</v>
      </c>
      <c r="H83" s="34">
        <v>2.34</v>
      </c>
      <c r="I83" s="35">
        <v>8.3291000000000004</v>
      </c>
      <c r="J83" s="35"/>
      <c r="K83" s="36" t="s">
        <v>211</v>
      </c>
    </row>
    <row r="84" spans="2:11" x14ac:dyDescent="0.35">
      <c r="B84" s="1" t="s">
        <v>230</v>
      </c>
      <c r="C84" s="21" t="s">
        <v>231</v>
      </c>
      <c r="D84" s="31" t="s">
        <v>232</v>
      </c>
      <c r="E84" s="32" t="s">
        <v>229</v>
      </c>
      <c r="F84" s="33">
        <v>15000</v>
      </c>
      <c r="G84" s="34">
        <v>14962.98</v>
      </c>
      <c r="H84" s="34">
        <v>2.19</v>
      </c>
      <c r="I84" s="35">
        <v>9.8048000000000002</v>
      </c>
      <c r="J84" s="35"/>
      <c r="K84" s="36" t="s">
        <v>211</v>
      </c>
    </row>
    <row r="85" spans="2:11" x14ac:dyDescent="0.35">
      <c r="B85" s="1" t="s">
        <v>233</v>
      </c>
      <c r="C85" s="21" t="s">
        <v>234</v>
      </c>
      <c r="D85" s="31" t="s">
        <v>235</v>
      </c>
      <c r="E85" s="32" t="s">
        <v>236</v>
      </c>
      <c r="F85" s="33">
        <v>12500</v>
      </c>
      <c r="G85" s="34">
        <v>12431.5</v>
      </c>
      <c r="H85" s="34">
        <v>1.82</v>
      </c>
      <c r="I85" s="35">
        <v>9.6041000000000007</v>
      </c>
      <c r="J85" s="35"/>
      <c r="K85" s="36" t="s">
        <v>211</v>
      </c>
    </row>
    <row r="86" spans="2:11" x14ac:dyDescent="0.35">
      <c r="B86" s="1" t="s">
        <v>237</v>
      </c>
      <c r="C86" s="21" t="s">
        <v>238</v>
      </c>
      <c r="D86" s="31" t="s">
        <v>239</v>
      </c>
      <c r="E86" s="32" t="s">
        <v>240</v>
      </c>
      <c r="F86" s="33">
        <v>9000</v>
      </c>
      <c r="G86" s="34">
        <v>9161.5</v>
      </c>
      <c r="H86" s="34">
        <v>1.34</v>
      </c>
      <c r="I86" s="35">
        <v>7.61</v>
      </c>
      <c r="J86" s="35"/>
      <c r="K86" s="36" t="s">
        <v>211</v>
      </c>
    </row>
    <row r="87" spans="2:11" x14ac:dyDescent="0.35">
      <c r="B87" s="1" t="s">
        <v>241</v>
      </c>
      <c r="C87" s="21" t="s">
        <v>242</v>
      </c>
      <c r="D87" s="31" t="s">
        <v>243</v>
      </c>
      <c r="E87" s="32" t="s">
        <v>244</v>
      </c>
      <c r="F87" s="33">
        <v>9000</v>
      </c>
      <c r="G87" s="34">
        <v>8991.85</v>
      </c>
      <c r="H87" s="34">
        <v>1.31</v>
      </c>
      <c r="I87" s="35">
        <v>9.7406000000000006</v>
      </c>
      <c r="J87" s="35"/>
      <c r="K87" s="36" t="s">
        <v>211</v>
      </c>
    </row>
    <row r="88" spans="2:11" x14ac:dyDescent="0.35">
      <c r="B88" s="1" t="s">
        <v>245</v>
      </c>
      <c r="C88" s="21" t="s">
        <v>246</v>
      </c>
      <c r="D88" s="31" t="s">
        <v>247</v>
      </c>
      <c r="E88" s="32" t="s">
        <v>248</v>
      </c>
      <c r="F88" s="33">
        <v>850</v>
      </c>
      <c r="G88" s="34">
        <v>8474.02</v>
      </c>
      <c r="H88" s="34">
        <v>1.24</v>
      </c>
      <c r="I88" s="35">
        <v>7.24</v>
      </c>
      <c r="J88" s="35">
        <v>7.9076898992500002</v>
      </c>
      <c r="K88" s="36" t="s">
        <v>211</v>
      </c>
    </row>
    <row r="89" spans="2:11" x14ac:dyDescent="0.35">
      <c r="B89" s="1" t="s">
        <v>249</v>
      </c>
      <c r="C89" s="21" t="s">
        <v>208</v>
      </c>
      <c r="D89" s="31" t="s">
        <v>250</v>
      </c>
      <c r="E89" s="32" t="s">
        <v>225</v>
      </c>
      <c r="F89" s="33">
        <v>7500</v>
      </c>
      <c r="G89" s="34">
        <v>7549.02</v>
      </c>
      <c r="H89" s="34">
        <v>1.1000000000000001</v>
      </c>
      <c r="I89" s="35">
        <v>8.2348999999999997</v>
      </c>
      <c r="J89" s="35"/>
      <c r="K89" s="36" t="s">
        <v>211</v>
      </c>
    </row>
    <row r="90" spans="2:11" x14ac:dyDescent="0.35">
      <c r="B90" s="1" t="s">
        <v>251</v>
      </c>
      <c r="C90" s="21" t="s">
        <v>252</v>
      </c>
      <c r="D90" s="31" t="s">
        <v>253</v>
      </c>
      <c r="E90" s="32" t="s">
        <v>254</v>
      </c>
      <c r="F90" s="33">
        <v>7500</v>
      </c>
      <c r="G90" s="34">
        <v>7541.2</v>
      </c>
      <c r="H90" s="34">
        <v>1.1000000000000001</v>
      </c>
      <c r="I90" s="35">
        <v>8.16</v>
      </c>
      <c r="J90" s="35"/>
      <c r="K90" s="36" t="s">
        <v>211</v>
      </c>
    </row>
    <row r="91" spans="2:11" x14ac:dyDescent="0.35">
      <c r="B91" s="1" t="s">
        <v>255</v>
      </c>
      <c r="C91" s="21" t="s">
        <v>256</v>
      </c>
      <c r="D91" s="31" t="s">
        <v>257</v>
      </c>
      <c r="E91" s="32" t="s">
        <v>217</v>
      </c>
      <c r="F91" s="33">
        <v>7500</v>
      </c>
      <c r="G91" s="34">
        <v>7520.01</v>
      </c>
      <c r="H91" s="34">
        <v>1.1000000000000001</v>
      </c>
      <c r="I91" s="35">
        <v>8.1249000000000002</v>
      </c>
      <c r="J91" s="35"/>
      <c r="K91" s="36" t="s">
        <v>211</v>
      </c>
    </row>
    <row r="92" spans="2:11" x14ac:dyDescent="0.35">
      <c r="B92" s="1" t="s">
        <v>258</v>
      </c>
      <c r="C92" s="21" t="s">
        <v>259</v>
      </c>
      <c r="D92" s="31" t="s">
        <v>260</v>
      </c>
      <c r="E92" s="32" t="s">
        <v>217</v>
      </c>
      <c r="F92" s="33">
        <v>7500</v>
      </c>
      <c r="G92" s="34">
        <v>7486.67</v>
      </c>
      <c r="H92" s="34">
        <v>1.0900000000000001</v>
      </c>
      <c r="I92" s="35">
        <v>8.82</v>
      </c>
      <c r="J92" s="35"/>
      <c r="K92" s="36" t="s">
        <v>211</v>
      </c>
    </row>
    <row r="93" spans="2:11" x14ac:dyDescent="0.35">
      <c r="B93" s="1" t="s">
        <v>261</v>
      </c>
      <c r="C93" s="21" t="s">
        <v>262</v>
      </c>
      <c r="D93" s="31" t="s">
        <v>263</v>
      </c>
      <c r="E93" s="32" t="s">
        <v>264</v>
      </c>
      <c r="F93" s="33">
        <v>5000</v>
      </c>
      <c r="G93" s="34">
        <v>5042.42</v>
      </c>
      <c r="H93" s="34">
        <v>0.74</v>
      </c>
      <c r="I93" s="35">
        <v>9.1441999999999997</v>
      </c>
      <c r="J93" s="35"/>
      <c r="K93" s="36" t="s">
        <v>211</v>
      </c>
    </row>
    <row r="94" spans="2:11" x14ac:dyDescent="0.35">
      <c r="B94" s="1" t="s">
        <v>265</v>
      </c>
      <c r="C94" s="21" t="s">
        <v>266</v>
      </c>
      <c r="D94" s="31" t="s">
        <v>267</v>
      </c>
      <c r="E94" s="32" t="s">
        <v>268</v>
      </c>
      <c r="F94" s="33">
        <v>5000</v>
      </c>
      <c r="G94" s="34">
        <v>5030.38</v>
      </c>
      <c r="H94" s="34">
        <v>0.74</v>
      </c>
      <c r="I94" s="35">
        <v>9.9345999999999997</v>
      </c>
      <c r="J94" s="35"/>
      <c r="K94" s="36" t="s">
        <v>211</v>
      </c>
    </row>
    <row r="95" spans="2:11" x14ac:dyDescent="0.35">
      <c r="B95" s="1" t="s">
        <v>269</v>
      </c>
      <c r="C95" s="21" t="s">
        <v>270</v>
      </c>
      <c r="D95" s="31" t="s">
        <v>271</v>
      </c>
      <c r="E95" s="32" t="s">
        <v>240</v>
      </c>
      <c r="F95" s="33">
        <v>5000</v>
      </c>
      <c r="G95" s="34">
        <v>5027.72</v>
      </c>
      <c r="H95" s="34">
        <v>0.73</v>
      </c>
      <c r="I95" s="35">
        <v>8.1363000000000003</v>
      </c>
      <c r="J95" s="35"/>
      <c r="K95" s="36" t="s">
        <v>211</v>
      </c>
    </row>
    <row r="96" spans="2:11" x14ac:dyDescent="0.35">
      <c r="B96" s="1" t="s">
        <v>272</v>
      </c>
      <c r="C96" s="21" t="s">
        <v>273</v>
      </c>
      <c r="D96" s="31" t="s">
        <v>274</v>
      </c>
      <c r="E96" s="32" t="s">
        <v>240</v>
      </c>
      <c r="F96" s="33">
        <v>5000</v>
      </c>
      <c r="G96" s="34">
        <v>5019.2</v>
      </c>
      <c r="H96" s="34">
        <v>0.73</v>
      </c>
      <c r="I96" s="35">
        <v>8.1270000000000007</v>
      </c>
      <c r="J96" s="35"/>
      <c r="K96" s="36" t="s">
        <v>211</v>
      </c>
    </row>
    <row r="97" spans="2:11" x14ac:dyDescent="0.35">
      <c r="B97" s="1" t="s">
        <v>275</v>
      </c>
      <c r="C97" s="21" t="s">
        <v>276</v>
      </c>
      <c r="D97" s="31" t="s">
        <v>277</v>
      </c>
      <c r="E97" s="32" t="s">
        <v>278</v>
      </c>
      <c r="F97" s="33">
        <v>500</v>
      </c>
      <c r="G97" s="34">
        <v>5002.18</v>
      </c>
      <c r="H97" s="34">
        <v>0.73</v>
      </c>
      <c r="I97" s="35">
        <v>9.5113000000000003</v>
      </c>
      <c r="J97" s="35">
        <v>8.1888077518499998</v>
      </c>
      <c r="K97" s="36" t="s">
        <v>211</v>
      </c>
    </row>
    <row r="98" spans="2:11" x14ac:dyDescent="0.35">
      <c r="B98" s="1" t="s">
        <v>279</v>
      </c>
      <c r="C98" s="21" t="s">
        <v>280</v>
      </c>
      <c r="D98" s="31" t="s">
        <v>281</v>
      </c>
      <c r="E98" s="32" t="s">
        <v>221</v>
      </c>
      <c r="F98" s="33">
        <v>4000</v>
      </c>
      <c r="G98" s="34">
        <v>4004.98</v>
      </c>
      <c r="H98" s="34">
        <v>0.59</v>
      </c>
      <c r="I98" s="35">
        <v>8.91</v>
      </c>
      <c r="J98" s="35"/>
      <c r="K98" s="36" t="s">
        <v>211</v>
      </c>
    </row>
    <row r="99" spans="2:11" x14ac:dyDescent="0.35">
      <c r="B99" s="1" t="s">
        <v>282</v>
      </c>
      <c r="C99" s="21" t="s">
        <v>283</v>
      </c>
      <c r="D99" s="31" t="s">
        <v>284</v>
      </c>
      <c r="E99" s="32" t="s">
        <v>268</v>
      </c>
      <c r="F99" s="33">
        <v>3000</v>
      </c>
      <c r="G99" s="34">
        <v>2998.82</v>
      </c>
      <c r="H99" s="34">
        <v>0.44</v>
      </c>
      <c r="I99" s="35">
        <v>10.3813</v>
      </c>
      <c r="J99" s="35"/>
      <c r="K99" s="36" t="s">
        <v>211</v>
      </c>
    </row>
    <row r="100" spans="2:11" x14ac:dyDescent="0.35">
      <c r="B100" s="1" t="s">
        <v>285</v>
      </c>
      <c r="C100" s="21" t="s">
        <v>286</v>
      </c>
      <c r="D100" s="31" t="s">
        <v>287</v>
      </c>
      <c r="E100" s="32" t="s">
        <v>240</v>
      </c>
      <c r="F100" s="33">
        <v>2500</v>
      </c>
      <c r="G100" s="34">
        <v>2552.65</v>
      </c>
      <c r="H100" s="34">
        <v>0.37</v>
      </c>
      <c r="I100" s="35">
        <v>7.8971999999999998</v>
      </c>
      <c r="J100" s="35"/>
      <c r="K100" s="36" t="s">
        <v>211</v>
      </c>
    </row>
    <row r="101" spans="2:11" x14ac:dyDescent="0.35">
      <c r="B101" s="1" t="s">
        <v>288</v>
      </c>
      <c r="C101" s="21" t="s">
        <v>270</v>
      </c>
      <c r="D101" s="31" t="s">
        <v>289</v>
      </c>
      <c r="E101" s="32" t="s">
        <v>240</v>
      </c>
      <c r="F101" s="33">
        <v>2500</v>
      </c>
      <c r="G101" s="34">
        <v>2527.4899999999998</v>
      </c>
      <c r="H101" s="34">
        <v>0.37</v>
      </c>
      <c r="I101" s="35">
        <v>8.0762999999999998</v>
      </c>
      <c r="J101" s="35"/>
      <c r="K101" s="36" t="s">
        <v>211</v>
      </c>
    </row>
    <row r="102" spans="2:11" x14ac:dyDescent="0.35">
      <c r="B102" s="1" t="s">
        <v>290</v>
      </c>
      <c r="C102" s="21" t="s">
        <v>231</v>
      </c>
      <c r="D102" s="31" t="s">
        <v>291</v>
      </c>
      <c r="E102" s="32" t="s">
        <v>229</v>
      </c>
      <c r="F102" s="33">
        <v>2500</v>
      </c>
      <c r="G102" s="34">
        <v>2502.46</v>
      </c>
      <c r="H102" s="34">
        <v>0.37</v>
      </c>
      <c r="I102" s="35">
        <v>8.8949999999999996</v>
      </c>
      <c r="J102" s="35"/>
      <c r="K102" s="36" t="s">
        <v>211</v>
      </c>
    </row>
    <row r="103" spans="2:11" x14ac:dyDescent="0.35">
      <c r="B103" s="1" t="s">
        <v>292</v>
      </c>
      <c r="C103" s="21" t="s">
        <v>293</v>
      </c>
      <c r="D103" s="31" t="s">
        <v>294</v>
      </c>
      <c r="E103" s="32" t="s">
        <v>295</v>
      </c>
      <c r="F103" s="33">
        <v>250</v>
      </c>
      <c r="G103" s="34">
        <v>2483.58</v>
      </c>
      <c r="H103" s="34">
        <v>0.36</v>
      </c>
      <c r="I103" s="35">
        <v>7.7290999999999999</v>
      </c>
      <c r="J103" s="35"/>
      <c r="K103" s="36" t="s">
        <v>211</v>
      </c>
    </row>
    <row r="104" spans="2:11" x14ac:dyDescent="0.35">
      <c r="B104" s="1" t="s">
        <v>296</v>
      </c>
      <c r="C104" s="21" t="s">
        <v>280</v>
      </c>
      <c r="D104" s="31" t="s">
        <v>297</v>
      </c>
      <c r="E104" s="32" t="s">
        <v>264</v>
      </c>
      <c r="F104" s="33">
        <v>2400</v>
      </c>
      <c r="G104" s="34">
        <v>2403.04</v>
      </c>
      <c r="H104" s="34">
        <v>0.35</v>
      </c>
      <c r="I104" s="35">
        <v>9.2993000000000006</v>
      </c>
      <c r="J104" s="35"/>
      <c r="K104" s="36" t="s">
        <v>211</v>
      </c>
    </row>
    <row r="105" spans="2:11" x14ac:dyDescent="0.35">
      <c r="B105" s="1" t="s">
        <v>298</v>
      </c>
      <c r="C105" s="21" t="s">
        <v>299</v>
      </c>
      <c r="D105" s="31" t="s">
        <v>300</v>
      </c>
      <c r="E105" s="32" t="s">
        <v>254</v>
      </c>
      <c r="F105" s="33">
        <v>2300</v>
      </c>
      <c r="G105" s="34">
        <v>2303.2600000000002</v>
      </c>
      <c r="H105" s="34">
        <v>0.34</v>
      </c>
      <c r="I105" s="35">
        <v>8.3293999999999997</v>
      </c>
      <c r="J105" s="35"/>
      <c r="K105" s="36" t="s">
        <v>211</v>
      </c>
    </row>
    <row r="106" spans="2:11" x14ac:dyDescent="0.35">
      <c r="B106" s="1" t="s">
        <v>301</v>
      </c>
      <c r="C106" s="21" t="s">
        <v>215</v>
      </c>
      <c r="D106" s="31" t="s">
        <v>302</v>
      </c>
      <c r="E106" s="32" t="s">
        <v>217</v>
      </c>
      <c r="F106" s="33">
        <v>150</v>
      </c>
      <c r="G106" s="34">
        <v>1505.87</v>
      </c>
      <c r="H106" s="34">
        <v>0.22</v>
      </c>
      <c r="I106" s="35">
        <v>8.3450000000000006</v>
      </c>
      <c r="J106" s="35"/>
      <c r="K106" s="36" t="s">
        <v>211</v>
      </c>
    </row>
    <row r="107" spans="2:11" x14ac:dyDescent="0.35">
      <c r="B107" s="1" t="s">
        <v>303</v>
      </c>
      <c r="C107" s="21" t="s">
        <v>259</v>
      </c>
      <c r="D107" s="31" t="s">
        <v>304</v>
      </c>
      <c r="E107" s="32" t="s">
        <v>217</v>
      </c>
      <c r="F107" s="33">
        <v>1500</v>
      </c>
      <c r="G107" s="34">
        <v>1496.09</v>
      </c>
      <c r="H107" s="34">
        <v>0.22</v>
      </c>
      <c r="I107" s="35">
        <v>8.6999999999999993</v>
      </c>
      <c r="J107" s="35"/>
      <c r="K107" s="36" t="s">
        <v>211</v>
      </c>
    </row>
    <row r="108" spans="2:11" x14ac:dyDescent="0.35">
      <c r="C108" s="30" t="s">
        <v>193</v>
      </c>
      <c r="D108" s="31"/>
      <c r="E108" s="32"/>
      <c r="F108" s="33"/>
      <c r="G108" s="38">
        <v>210399.9</v>
      </c>
      <c r="H108" s="38">
        <v>30.75</v>
      </c>
      <c r="I108" s="35"/>
      <c r="J108" s="35"/>
      <c r="K108" s="36"/>
    </row>
    <row r="109" spans="2:11" x14ac:dyDescent="0.3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2:11" x14ac:dyDescent="0.35">
      <c r="C110" s="30" t="s">
        <v>305</v>
      </c>
      <c r="D110" s="31"/>
      <c r="E110" s="32"/>
      <c r="F110" s="33"/>
      <c r="G110" s="34" t="s">
        <v>195</v>
      </c>
      <c r="H110" s="34" t="s">
        <v>195</v>
      </c>
      <c r="I110" s="35"/>
      <c r="J110" s="35"/>
      <c r="K110" s="36"/>
    </row>
    <row r="111" spans="2:11" x14ac:dyDescent="0.3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2:11" x14ac:dyDescent="0.35">
      <c r="C112" s="30" t="s">
        <v>306</v>
      </c>
      <c r="D112" s="31"/>
      <c r="E112" s="32"/>
      <c r="F112" s="33"/>
      <c r="G112" s="34" t="s">
        <v>195</v>
      </c>
      <c r="H112" s="34" t="s">
        <v>195</v>
      </c>
      <c r="I112" s="35"/>
      <c r="J112" s="35"/>
      <c r="K112" s="36"/>
    </row>
    <row r="113" spans="2:11" x14ac:dyDescent="0.3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2:11" x14ac:dyDescent="0.35">
      <c r="C114" s="37" t="s">
        <v>307</v>
      </c>
      <c r="D114" s="31"/>
      <c r="E114" s="32"/>
      <c r="F114" s="33"/>
      <c r="G114" s="34"/>
      <c r="H114" s="34"/>
      <c r="I114" s="35"/>
      <c r="J114" s="35"/>
      <c r="K114" s="36"/>
    </row>
    <row r="115" spans="2:11" x14ac:dyDescent="0.35">
      <c r="B115" s="1" t="s">
        <v>308</v>
      </c>
      <c r="C115" s="21" t="s">
        <v>309</v>
      </c>
      <c r="D115" s="31" t="s">
        <v>310</v>
      </c>
      <c r="E115" s="32" t="s">
        <v>311</v>
      </c>
      <c r="F115" s="33">
        <v>20000000</v>
      </c>
      <c r="G115" s="34">
        <v>20715.580000000002</v>
      </c>
      <c r="H115" s="34">
        <v>3.03</v>
      </c>
      <c r="I115" s="35">
        <v>7.1307900999999996</v>
      </c>
      <c r="J115" s="35"/>
      <c r="K115" s="36"/>
    </row>
    <row r="116" spans="2:11" x14ac:dyDescent="0.35">
      <c r="B116" s="1" t="s">
        <v>312</v>
      </c>
      <c r="C116" s="21" t="s">
        <v>313</v>
      </c>
      <c r="D116" s="31" t="s">
        <v>314</v>
      </c>
      <c r="E116" s="32" t="s">
        <v>311</v>
      </c>
      <c r="F116" s="33">
        <v>10000000</v>
      </c>
      <c r="G116" s="34">
        <v>10235.16</v>
      </c>
      <c r="H116" s="34">
        <v>1.5</v>
      </c>
      <c r="I116" s="35">
        <v>6.9312069999999997</v>
      </c>
      <c r="J116" s="35"/>
      <c r="K116" s="36"/>
    </row>
    <row r="117" spans="2:11" x14ac:dyDescent="0.35">
      <c r="B117" s="1" t="s">
        <v>315</v>
      </c>
      <c r="C117" s="21" t="s">
        <v>316</v>
      </c>
      <c r="D117" s="31" t="s">
        <v>317</v>
      </c>
      <c r="E117" s="32" t="s">
        <v>311</v>
      </c>
      <c r="F117" s="33">
        <v>10000000</v>
      </c>
      <c r="G117" s="34">
        <v>10217.49</v>
      </c>
      <c r="H117" s="34">
        <v>1.49</v>
      </c>
      <c r="I117" s="35">
        <v>6.8953173000000003</v>
      </c>
      <c r="J117" s="35"/>
      <c r="K117" s="36"/>
    </row>
    <row r="118" spans="2:11" x14ac:dyDescent="0.35">
      <c r="B118" s="1" t="s">
        <v>318</v>
      </c>
      <c r="C118" s="21" t="s">
        <v>319</v>
      </c>
      <c r="D118" s="31" t="s">
        <v>320</v>
      </c>
      <c r="E118" s="32" t="s">
        <v>311</v>
      </c>
      <c r="F118" s="33">
        <v>1000000</v>
      </c>
      <c r="G118" s="34">
        <v>1009.95</v>
      </c>
      <c r="H118" s="34">
        <v>0.15</v>
      </c>
      <c r="I118" s="35">
        <v>6.8328980000000001</v>
      </c>
      <c r="J118" s="35"/>
      <c r="K118" s="36"/>
    </row>
    <row r="119" spans="2:11" x14ac:dyDescent="0.35">
      <c r="C119" s="30" t="s">
        <v>193</v>
      </c>
      <c r="D119" s="31"/>
      <c r="E119" s="32"/>
      <c r="F119" s="33"/>
      <c r="G119" s="38">
        <v>42178.18</v>
      </c>
      <c r="H119" s="38">
        <v>6.17</v>
      </c>
      <c r="I119" s="35"/>
      <c r="J119" s="35"/>
      <c r="K119" s="36"/>
    </row>
    <row r="120" spans="2:11" x14ac:dyDescent="0.35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2:11" x14ac:dyDescent="0.35">
      <c r="C121" s="30" t="s">
        <v>321</v>
      </c>
      <c r="D121" s="31"/>
      <c r="E121" s="32"/>
      <c r="F121" s="33"/>
      <c r="G121" s="34" t="s">
        <v>195</v>
      </c>
      <c r="H121" s="34" t="s">
        <v>195</v>
      </c>
      <c r="I121" s="35"/>
      <c r="J121" s="35"/>
      <c r="K121" s="36"/>
    </row>
    <row r="122" spans="2:11" x14ac:dyDescent="0.35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2:11" x14ac:dyDescent="0.35">
      <c r="C123" s="30" t="s">
        <v>322</v>
      </c>
      <c r="D123" s="31"/>
      <c r="E123" s="32"/>
      <c r="F123" s="33"/>
      <c r="G123" s="34"/>
      <c r="H123" s="34"/>
      <c r="I123" s="35"/>
      <c r="J123" s="35"/>
      <c r="K123" s="36"/>
    </row>
    <row r="124" spans="2:11" x14ac:dyDescent="0.35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2:11" x14ac:dyDescent="0.35">
      <c r="C125" s="30" t="s">
        <v>323</v>
      </c>
      <c r="D125" s="31"/>
      <c r="E125" s="32"/>
      <c r="F125" s="33"/>
      <c r="G125" s="34" t="s">
        <v>195</v>
      </c>
      <c r="H125" s="34" t="s">
        <v>195</v>
      </c>
      <c r="I125" s="35"/>
      <c r="J125" s="35"/>
      <c r="K125" s="36"/>
    </row>
    <row r="126" spans="2:11" x14ac:dyDescent="0.35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2:11" x14ac:dyDescent="0.35">
      <c r="C127" s="30" t="s">
        <v>324</v>
      </c>
      <c r="D127" s="31"/>
      <c r="E127" s="32"/>
      <c r="F127" s="33"/>
      <c r="G127" s="34" t="s">
        <v>195</v>
      </c>
      <c r="H127" s="34" t="s">
        <v>195</v>
      </c>
      <c r="I127" s="35"/>
      <c r="J127" s="35"/>
      <c r="K127" s="36"/>
    </row>
    <row r="128" spans="2:11" x14ac:dyDescent="0.35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11" x14ac:dyDescent="0.35">
      <c r="C129" s="30" t="s">
        <v>325</v>
      </c>
      <c r="D129" s="31"/>
      <c r="E129" s="32"/>
      <c r="F129" s="33"/>
      <c r="G129" s="34" t="s">
        <v>195</v>
      </c>
      <c r="H129" s="34" t="s">
        <v>195</v>
      </c>
      <c r="I129" s="35"/>
      <c r="J129" s="35"/>
      <c r="K129" s="36"/>
    </row>
    <row r="130" spans="1:11" x14ac:dyDescent="0.35">
      <c r="C130" s="21"/>
      <c r="D130" s="31"/>
      <c r="E130" s="32"/>
      <c r="F130" s="33"/>
      <c r="G130" s="34"/>
      <c r="H130" s="34"/>
      <c r="I130" s="35"/>
      <c r="J130" s="35"/>
      <c r="K130" s="36"/>
    </row>
    <row r="131" spans="1:11" x14ac:dyDescent="0.35">
      <c r="C131" s="30" t="s">
        <v>326</v>
      </c>
      <c r="D131" s="31"/>
      <c r="E131" s="32"/>
      <c r="F131" s="33"/>
      <c r="G131" s="34" t="s">
        <v>195</v>
      </c>
      <c r="H131" s="34" t="s">
        <v>195</v>
      </c>
      <c r="I131" s="35"/>
      <c r="J131" s="35"/>
      <c r="K131" s="36"/>
    </row>
    <row r="132" spans="1:11" x14ac:dyDescent="0.35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11" x14ac:dyDescent="0.35">
      <c r="C133" s="30" t="s">
        <v>327</v>
      </c>
      <c r="D133" s="31"/>
      <c r="E133" s="32"/>
      <c r="F133" s="33"/>
      <c r="G133" s="34" t="s">
        <v>195</v>
      </c>
      <c r="H133" s="34" t="s">
        <v>195</v>
      </c>
      <c r="I133" s="35"/>
      <c r="J133" s="35"/>
      <c r="K133" s="36"/>
    </row>
    <row r="134" spans="1:11" x14ac:dyDescent="0.35">
      <c r="C134" s="21"/>
      <c r="D134" s="31"/>
      <c r="E134" s="32"/>
      <c r="F134" s="33"/>
      <c r="G134" s="34"/>
      <c r="H134" s="34"/>
      <c r="I134" s="35"/>
      <c r="J134" s="35"/>
      <c r="K134" s="36"/>
    </row>
    <row r="135" spans="1:11" x14ac:dyDescent="0.35">
      <c r="A135" s="28"/>
      <c r="B135" s="29"/>
      <c r="C135" s="30" t="s">
        <v>328</v>
      </c>
      <c r="D135" s="31"/>
      <c r="E135" s="32"/>
      <c r="F135" s="33"/>
      <c r="G135" s="34"/>
      <c r="H135" s="34"/>
      <c r="I135" s="35"/>
      <c r="J135" s="35"/>
      <c r="K135" s="36"/>
    </row>
    <row r="136" spans="1:11" x14ac:dyDescent="0.35">
      <c r="C136" s="37" t="s">
        <v>329</v>
      </c>
      <c r="D136" s="31"/>
      <c r="E136" s="32"/>
      <c r="F136" s="33"/>
      <c r="G136" s="34"/>
      <c r="H136" s="34"/>
      <c r="I136" s="35"/>
      <c r="J136" s="35"/>
      <c r="K136" s="36"/>
    </row>
    <row r="137" spans="1:11" x14ac:dyDescent="0.35">
      <c r="B137" s="1" t="s">
        <v>330</v>
      </c>
      <c r="C137" s="21" t="s">
        <v>331</v>
      </c>
      <c r="D137" s="31" t="s">
        <v>332</v>
      </c>
      <c r="E137" s="32" t="s">
        <v>84</v>
      </c>
      <c r="F137" s="33">
        <v>105241000</v>
      </c>
      <c r="G137" s="34">
        <v>69764.259999999995</v>
      </c>
      <c r="H137" s="34">
        <v>10.19</v>
      </c>
      <c r="I137" s="35"/>
      <c r="J137" s="35"/>
      <c r="K137" s="36"/>
    </row>
    <row r="138" spans="1:11" x14ac:dyDescent="0.35">
      <c r="B138" s="1" t="s">
        <v>333</v>
      </c>
      <c r="C138" s="21" t="s">
        <v>334</v>
      </c>
      <c r="D138" s="31" t="s">
        <v>335</v>
      </c>
      <c r="E138" s="32" t="s">
        <v>84</v>
      </c>
      <c r="F138" s="33">
        <v>26730000</v>
      </c>
      <c r="G138" s="34">
        <v>23233.72</v>
      </c>
      <c r="H138" s="34">
        <v>3.4</v>
      </c>
      <c r="I138" s="35"/>
      <c r="J138" s="35"/>
      <c r="K138" s="36"/>
    </row>
    <row r="139" spans="1:11" x14ac:dyDescent="0.35">
      <c r="B139" s="1" t="s">
        <v>336</v>
      </c>
      <c r="C139" s="21" t="s">
        <v>337</v>
      </c>
      <c r="D139" s="31" t="s">
        <v>338</v>
      </c>
      <c r="E139" s="32" t="s">
        <v>84</v>
      </c>
      <c r="F139" s="33">
        <v>19500000</v>
      </c>
      <c r="G139" s="34">
        <v>17349.150000000001</v>
      </c>
      <c r="H139" s="34">
        <v>2.54</v>
      </c>
      <c r="I139" s="35"/>
      <c r="J139" s="35"/>
      <c r="K139" s="36"/>
    </row>
    <row r="140" spans="1:11" x14ac:dyDescent="0.35">
      <c r="C140" s="30" t="s">
        <v>193</v>
      </c>
      <c r="D140" s="31"/>
      <c r="E140" s="32"/>
      <c r="F140" s="33"/>
      <c r="G140" s="38">
        <v>110347.13</v>
      </c>
      <c r="H140" s="38">
        <v>16.13</v>
      </c>
      <c r="I140" s="35"/>
      <c r="J140" s="35"/>
      <c r="K140" s="36"/>
    </row>
    <row r="141" spans="1:11" x14ac:dyDescent="0.35">
      <c r="C141" s="21"/>
      <c r="D141" s="31"/>
      <c r="E141" s="32"/>
      <c r="F141" s="33"/>
      <c r="G141" s="34"/>
      <c r="H141" s="34"/>
      <c r="I141" s="35"/>
      <c r="J141" s="35"/>
      <c r="K141" s="36"/>
    </row>
    <row r="142" spans="1:11" x14ac:dyDescent="0.35">
      <c r="C142" s="30" t="s">
        <v>339</v>
      </c>
      <c r="D142" s="31"/>
      <c r="E142" s="32"/>
      <c r="F142" s="33"/>
      <c r="G142" s="34" t="s">
        <v>195</v>
      </c>
      <c r="H142" s="34" t="s">
        <v>195</v>
      </c>
      <c r="I142" s="35"/>
      <c r="J142" s="35"/>
      <c r="K142" s="36"/>
    </row>
    <row r="143" spans="1:11" x14ac:dyDescent="0.35">
      <c r="C143" s="21"/>
      <c r="D143" s="31"/>
      <c r="E143" s="32"/>
      <c r="F143" s="33"/>
      <c r="G143" s="34"/>
      <c r="H143" s="34"/>
      <c r="I143" s="35"/>
      <c r="J143" s="35"/>
      <c r="K143" s="36"/>
    </row>
    <row r="144" spans="1:11" x14ac:dyDescent="0.35">
      <c r="C144" s="30" t="s">
        <v>340</v>
      </c>
      <c r="D144" s="31"/>
      <c r="E144" s="32"/>
      <c r="F144" s="33"/>
      <c r="G144" s="34" t="s">
        <v>195</v>
      </c>
      <c r="H144" s="34" t="s">
        <v>195</v>
      </c>
      <c r="I144" s="35"/>
      <c r="J144" s="35"/>
      <c r="K144" s="36"/>
    </row>
    <row r="145" spans="1:54" x14ac:dyDescent="0.35">
      <c r="C145" s="21"/>
      <c r="D145" s="31"/>
      <c r="E145" s="32"/>
      <c r="F145" s="33"/>
      <c r="G145" s="34"/>
      <c r="H145" s="34"/>
      <c r="I145" s="35"/>
      <c r="J145" s="35"/>
      <c r="K145" s="36"/>
    </row>
    <row r="146" spans="1:54" x14ac:dyDescent="0.35">
      <c r="C146" s="30" t="s">
        <v>341</v>
      </c>
      <c r="D146" s="31"/>
      <c r="E146" s="32"/>
      <c r="F146" s="33"/>
      <c r="G146" s="34" t="s">
        <v>195</v>
      </c>
      <c r="H146" s="34" t="s">
        <v>195</v>
      </c>
      <c r="I146" s="35"/>
      <c r="J146" s="35"/>
      <c r="K146" s="36"/>
    </row>
    <row r="147" spans="1:54" x14ac:dyDescent="0.35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54" x14ac:dyDescent="0.35">
      <c r="C148" s="30" t="s">
        <v>342</v>
      </c>
      <c r="D148" s="31"/>
      <c r="E148" s="32"/>
      <c r="F148" s="33"/>
      <c r="G148" s="34" t="s">
        <v>195</v>
      </c>
      <c r="H148" s="34" t="s">
        <v>195</v>
      </c>
      <c r="I148" s="35"/>
      <c r="J148" s="35"/>
      <c r="K148" s="36"/>
    </row>
    <row r="149" spans="1:54" x14ac:dyDescent="0.35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54" x14ac:dyDescent="0.35">
      <c r="C150" s="37" t="s">
        <v>343</v>
      </c>
      <c r="D150" s="31"/>
      <c r="E150" s="32"/>
      <c r="F150" s="33"/>
      <c r="G150" s="34"/>
      <c r="H150" s="34"/>
      <c r="I150" s="35"/>
      <c r="J150" s="35"/>
      <c r="K150" s="36"/>
    </row>
    <row r="151" spans="1:54" x14ac:dyDescent="0.35">
      <c r="B151" s="1" t="s">
        <v>344</v>
      </c>
      <c r="C151" s="21" t="s">
        <v>345</v>
      </c>
      <c r="D151" s="31"/>
      <c r="E151" s="32"/>
      <c r="F151" s="33"/>
      <c r="G151" s="34">
        <v>49650.23</v>
      </c>
      <c r="H151" s="34">
        <v>7.26</v>
      </c>
      <c r="I151" s="35"/>
      <c r="J151" s="35"/>
      <c r="K151" s="36"/>
    </row>
    <row r="152" spans="1:54" x14ac:dyDescent="0.35">
      <c r="C152" s="30" t="s">
        <v>193</v>
      </c>
      <c r="D152" s="31"/>
      <c r="E152" s="32"/>
      <c r="F152" s="33"/>
      <c r="G152" s="38">
        <v>49650.23</v>
      </c>
      <c r="H152" s="38">
        <v>7.26</v>
      </c>
      <c r="I152" s="35"/>
      <c r="J152" s="35"/>
      <c r="K152" s="36"/>
    </row>
    <row r="153" spans="1:54" x14ac:dyDescent="0.35">
      <c r="C153" s="21"/>
      <c r="D153" s="31"/>
      <c r="E153" s="32"/>
      <c r="F153" s="33"/>
      <c r="G153" s="34"/>
      <c r="H153" s="34"/>
      <c r="I153" s="35"/>
      <c r="J153" s="35"/>
      <c r="K153" s="36"/>
    </row>
    <row r="154" spans="1:54" x14ac:dyDescent="0.35">
      <c r="A154" s="28"/>
      <c r="B154" s="29"/>
      <c r="C154" s="30" t="s">
        <v>346</v>
      </c>
      <c r="D154" s="31"/>
      <c r="E154" s="32"/>
      <c r="F154" s="33"/>
      <c r="G154" s="34"/>
      <c r="H154" s="34"/>
      <c r="I154" s="35"/>
      <c r="J154" s="35"/>
      <c r="K154" s="36"/>
    </row>
    <row r="155" spans="1:54" s="2" customFormat="1" ht="13.5" x14ac:dyDescent="0.35">
      <c r="A155" s="29"/>
      <c r="B155" s="29"/>
      <c r="C155" s="21" t="s">
        <v>347</v>
      </c>
      <c r="D155" s="31"/>
      <c r="E155" s="32"/>
      <c r="F155" s="33"/>
      <c r="G155" s="34" t="s">
        <v>195</v>
      </c>
      <c r="H155" s="34" t="s">
        <v>195</v>
      </c>
      <c r="I155" s="35"/>
      <c r="J155" s="35"/>
      <c r="K155" s="36"/>
      <c r="L155" s="10"/>
      <c r="AI155" s="10"/>
      <c r="AV155" s="10"/>
      <c r="AX155" s="10"/>
      <c r="BB155" s="10"/>
    </row>
    <row r="156" spans="1:54" x14ac:dyDescent="0.35">
      <c r="B156" s="1"/>
      <c r="C156" s="21" t="s">
        <v>348</v>
      </c>
      <c r="D156" s="31"/>
      <c r="E156" s="32"/>
      <c r="F156" s="33"/>
      <c r="G156" s="34">
        <v>6466.84</v>
      </c>
      <c r="H156" s="34">
        <v>0.96</v>
      </c>
      <c r="I156" s="35"/>
      <c r="J156" s="35"/>
      <c r="K156" s="36"/>
    </row>
    <row r="157" spans="1:54" x14ac:dyDescent="0.35">
      <c r="C157" s="30" t="s">
        <v>193</v>
      </c>
      <c r="D157" s="31"/>
      <c r="E157" s="32"/>
      <c r="F157" s="33"/>
      <c r="G157" s="38">
        <v>6466.84</v>
      </c>
      <c r="H157" s="38">
        <v>0.96</v>
      </c>
      <c r="I157" s="35"/>
      <c r="J157" s="35"/>
      <c r="K157" s="36"/>
    </row>
    <row r="158" spans="1:54" x14ac:dyDescent="0.35">
      <c r="C158" s="21"/>
      <c r="D158" s="31"/>
      <c r="E158" s="32"/>
      <c r="F158" s="33"/>
      <c r="G158" s="34"/>
      <c r="H158" s="34"/>
      <c r="I158" s="35"/>
      <c r="J158" s="35"/>
      <c r="K158" s="36"/>
    </row>
    <row r="159" spans="1:54" ht="15" thickBot="1" x14ac:dyDescent="0.4">
      <c r="C159" s="39" t="s">
        <v>349</v>
      </c>
      <c r="D159" s="40"/>
      <c r="E159" s="41"/>
      <c r="F159" s="42"/>
      <c r="G159" s="43">
        <v>684312.24</v>
      </c>
      <c r="H159" s="43">
        <v>100</v>
      </c>
      <c r="I159" s="44"/>
      <c r="J159" s="44"/>
      <c r="K159" s="45"/>
    </row>
    <row r="162" spans="3:11" x14ac:dyDescent="0.35">
      <c r="C162" s="11" t="s">
        <v>350</v>
      </c>
    </row>
    <row r="163" spans="3:11" x14ac:dyDescent="0.35">
      <c r="C163" s="46" t="s">
        <v>351</v>
      </c>
      <c r="D163" s="46"/>
      <c r="E163" s="46"/>
      <c r="F163" s="46"/>
      <c r="G163" s="46"/>
      <c r="H163" s="46"/>
      <c r="I163" s="46"/>
      <c r="J163" s="46"/>
      <c r="K163" s="46"/>
    </row>
    <row r="164" spans="3:11" x14ac:dyDescent="0.35">
      <c r="C164" s="2" t="s">
        <v>352</v>
      </c>
    </row>
    <row r="165" spans="3:11" x14ac:dyDescent="0.35">
      <c r="C165" s="2" t="s">
        <v>353</v>
      </c>
    </row>
    <row r="166" spans="3:11" ht="30" customHeight="1" x14ac:dyDescent="0.35">
      <c r="C166" s="47" t="s">
        <v>354</v>
      </c>
      <c r="D166" s="48"/>
      <c r="E166" s="48"/>
      <c r="F166" s="48"/>
      <c r="G166" s="48"/>
      <c r="H166" s="48"/>
      <c r="I166" s="48"/>
      <c r="J166" s="48"/>
      <c r="K166" s="48"/>
    </row>
    <row r="167" spans="3:11" x14ac:dyDescent="0.35">
      <c r="C167" s="2" t="s">
        <v>355</v>
      </c>
    </row>
    <row r="169" spans="3:11" x14ac:dyDescent="0.35">
      <c r="C169" s="49" t="s">
        <v>356</v>
      </c>
      <c r="E169" s="49" t="s">
        <v>357</v>
      </c>
      <c r="F169" s="50"/>
    </row>
    <row r="170" spans="3:11" x14ac:dyDescent="0.35">
      <c r="E170" s="2" t="s">
        <v>358</v>
      </c>
    </row>
  </sheetData>
  <mergeCells count="1">
    <mergeCell ref="C166:K166"/>
  </mergeCells>
  <hyperlinks>
    <hyperlink ref="J2" location="'Index'!A1" display="'Index'!A1" xr:uid="{3403665B-7809-4CFD-BD0B-5E49F19C6BF4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SMAAF</vt:lpstr>
      <vt:lpstr>XDO_?CLASS_3?35?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XDO_?NAMCNAME?35?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XDO_?NPTF?35?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XDO_?TITL?35?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XDO_GROUP_?G_2?35?</vt:lpstr>
      <vt:lpstr>XDO_GROUP_?G_3?35?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2024-12-06T11:35:04Z</dcterms:created>
  <dcterms:modified xsi:type="dcterms:W3CDTF">2024-12-06T11:35:04Z</dcterms:modified>
</cp:coreProperties>
</file>