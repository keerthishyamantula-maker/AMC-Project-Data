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C:\Users\3586\Downloads\Sitefinity Uploads\081124\October 2024\"/>
    </mc:Choice>
  </mc:AlternateContent>
  <xr:revisionPtr revIDLastSave="0" documentId="8_{A3710C26-6919-44E4-B35D-789A1D109DF5}" xr6:coauthVersionLast="47" xr6:coauthVersionMax="47" xr10:uidLastSave="{00000000-0000-0000-0000-000000000000}"/>
  <bookViews>
    <workbookView xWindow="-110" yWindow="-110" windowWidth="19420" windowHeight="10420" xr2:uid="{CE994802-9AB0-4C7C-B261-B58777208FCE}"/>
  </bookViews>
  <sheets>
    <sheet name="SMAAF" sheetId="1" r:id="rId1"/>
  </sheets>
  <externalReferences>
    <externalReference r:id="rId2"/>
  </externalReferences>
  <definedNames>
    <definedName name="XDO_?CLASS_3?1?">#REF!</definedName>
    <definedName name="XDO_?CLASS_3?10?">#REF!</definedName>
    <definedName name="XDO_?CLASS_3?12?">#REF!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4?">#REF!</definedName>
    <definedName name="XDO_?CLASS_3?2?">#REF!</definedName>
    <definedName name="XDO_?CLASS_3?3?">#REF!</definedName>
    <definedName name="XDO_?CLASS_3?35?">SMAAF!$C$8:$C$58</definedName>
    <definedName name="XDO_?CLASS_3?4?">#REF!</definedName>
    <definedName name="XDO_?CLASS_3?7?">#REF!</definedName>
    <definedName name="XDO_?CLASS_3?8?">#REF!</definedName>
    <definedName name="XDO_?FINAL_ISIN?1?">#REF!</definedName>
    <definedName name="XDO_?FINAL_ISIN?143?">SMAAF!$D$10:$D$58</definedName>
    <definedName name="XDO_?FINAL_ISIN?144?">SMAAF!$D$10:$D$66</definedName>
    <definedName name="XDO_?FINAL_ISIN?145?">SMAAF!$D$10:$D$70</definedName>
    <definedName name="XDO_?FINAL_ISIN?146?">SMAAF!$D$10:$D$106</definedName>
    <definedName name="XDO_?FINAL_ISIN?147?">SMAAF!$D$10:$D$117</definedName>
    <definedName name="XDO_?FINAL_ISIN?148?">SMAAF!$D$10:$D$138</definedName>
    <definedName name="XDO_?FINAL_ISIN?149?">SMAAF!$D$10:$D$150</definedName>
    <definedName name="XDO_?FINAL_ISIN?150?">SMAAF!$D$10:$D$155</definedName>
    <definedName name="XDO_?FINAL_ISIN?17?">#REF!</definedName>
    <definedName name="XDO_?FINAL_ISIN?18?">#REF!</definedName>
    <definedName name="XDO_?FINAL_ISIN?19?">#REF!</definedName>
    <definedName name="XDO_?FINAL_ISIN?2?">#REF!</definedName>
    <definedName name="XDO_?FINAL_ISIN?20?">#REF!</definedName>
    <definedName name="XDO_?FINAL_ISIN?25?">#REF!</definedName>
    <definedName name="XDO_?FINAL_ISIN?26?">#REF!</definedName>
    <definedName name="XDO_?FINAL_ISIN?3?">#REF!</definedName>
    <definedName name="XDO_?FINAL_ISIN?36?">#REF!</definedName>
    <definedName name="XDO_?FINAL_ISIN?37?">#REF!</definedName>
    <definedName name="XDO_?FINAL_ISIN?4?">#REF!</definedName>
    <definedName name="XDO_?FINAL_ISIN?43?">#REF!</definedName>
    <definedName name="XDO_?FINAL_ISIN?44?">#REF!</definedName>
    <definedName name="XDO_?FINAL_ISIN?5?">#REF!</definedName>
    <definedName name="XDO_?FINAL_ISIN?533?">#REF!</definedName>
    <definedName name="XDO_?FINAL_ISIN?534?">#REF!</definedName>
    <definedName name="XDO_?FINAL_ISIN?535?">#REF!</definedName>
    <definedName name="XDO_?FINAL_ISIN?536?">#REF!</definedName>
    <definedName name="XDO_?FINAL_ISIN?537?">#REF!</definedName>
    <definedName name="XDO_?FINAL_ISIN?538?">#REF!</definedName>
    <definedName name="XDO_?FINAL_ISIN?539?">#REF!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6?">#REF!</definedName>
    <definedName name="XDO_?FINAL_ISIN?7?">#REF!</definedName>
    <definedName name="XDO_?FINAL_ISIN?8?">#REF!</definedName>
    <definedName name="XDO_?FINAL_MV?1?">#REF!</definedName>
    <definedName name="XDO_?FINAL_MV?106?">[1]SFEF!$G$10:$G$35</definedName>
    <definedName name="XDO_?FINAL_MV?143?">SMAAF!$G$10:$G$58</definedName>
    <definedName name="XDO_?FINAL_MV?144?">SMAAF!$G$10:$G$66</definedName>
    <definedName name="XDO_?FINAL_MV?145?">SMAAF!$G$10:$G$70</definedName>
    <definedName name="XDO_?FINAL_MV?146?">SMAAF!$G$10:$G$106</definedName>
    <definedName name="XDO_?FINAL_MV?147?">SMAAF!$G$10:$G$117</definedName>
    <definedName name="XDO_?FINAL_MV?148?">SMAAF!$G$10:$G$138</definedName>
    <definedName name="XDO_?FINAL_MV?149?">SMAAF!$G$10:$G$150</definedName>
    <definedName name="XDO_?FINAL_MV?150?">SMAAF!$G$10:$G$155</definedName>
    <definedName name="XDO_?FINAL_MV?17?">#REF!</definedName>
    <definedName name="XDO_?FINAL_MV?18?">#REF!</definedName>
    <definedName name="XDO_?FINAL_MV?19?">#REF!</definedName>
    <definedName name="XDO_?FINAL_MV?2?">#REF!</definedName>
    <definedName name="XDO_?FINAL_MV?20?">#REF!</definedName>
    <definedName name="XDO_?FINAL_MV?25?">#REF!</definedName>
    <definedName name="XDO_?FINAL_MV?26?">#REF!</definedName>
    <definedName name="XDO_?FINAL_MV?27?">[1]SEHF!$G$10:$G$39</definedName>
    <definedName name="XDO_?FINAL_MV?3?">#REF!</definedName>
    <definedName name="XDO_?FINAL_MV?36?">#REF!</definedName>
    <definedName name="XDO_?FINAL_MV?362?">[1]SBAF!$G$10:$G$97</definedName>
    <definedName name="XDO_?FINAL_MV?37?">#REF!</definedName>
    <definedName name="XDO_?FINAL_MV?4?">#REF!</definedName>
    <definedName name="XDO_?FINAL_MV?43?">#REF!</definedName>
    <definedName name="XDO_?FINAL_MV?44?">#REF!</definedName>
    <definedName name="XDO_?FINAL_MV?5?">#REF!</definedName>
    <definedName name="XDO_?FINAL_MV?533?">#REF!</definedName>
    <definedName name="XDO_?FINAL_MV?534?">#REF!</definedName>
    <definedName name="XDO_?FINAL_MV?535?">#REF!</definedName>
    <definedName name="XDO_?FINAL_MV?536?">#REF!</definedName>
    <definedName name="XDO_?FINAL_MV?537?">#REF!</definedName>
    <definedName name="XDO_?FINAL_MV?538?">#REF!</definedName>
    <definedName name="XDO_?FINAL_MV?539?">#REF!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6?">#REF!</definedName>
    <definedName name="XDO_?FINAL_MV?7?">#REF!</definedName>
    <definedName name="XDO_?FINAL_MV?8?">#REF!</definedName>
    <definedName name="XDO_?FINAL_NAME?1?">#REF!</definedName>
    <definedName name="XDO_?FINAL_NAME?143?">SMAAF!$C$10:$C$58</definedName>
    <definedName name="XDO_?FINAL_NAME?144?">SMAAF!$C$10:$C$66</definedName>
    <definedName name="XDO_?FINAL_NAME?145?">SMAAF!$C$10:$C$70</definedName>
    <definedName name="XDO_?FINAL_NAME?146?">SMAAF!$C$10:$C$106</definedName>
    <definedName name="XDO_?FINAL_NAME?147?">SMAAF!$C$10:$C$117</definedName>
    <definedName name="XDO_?FINAL_NAME?148?">SMAAF!$C$10:$C$138</definedName>
    <definedName name="XDO_?FINAL_NAME?149?">SMAAF!$C$10:$C$150</definedName>
    <definedName name="XDO_?FINAL_NAME?150?">SMAAF!$C$10:$C$155</definedName>
    <definedName name="XDO_?FINAL_NAME?17?">#REF!</definedName>
    <definedName name="XDO_?FINAL_NAME?18?">#REF!</definedName>
    <definedName name="XDO_?FINAL_NAME?19?">#REF!</definedName>
    <definedName name="XDO_?FINAL_NAME?2?">#REF!</definedName>
    <definedName name="XDO_?FINAL_NAME?20?">#REF!</definedName>
    <definedName name="XDO_?FINAL_NAME?25?">#REF!</definedName>
    <definedName name="XDO_?FINAL_NAME?26?">#REF!</definedName>
    <definedName name="XDO_?FINAL_NAME?3?">#REF!</definedName>
    <definedName name="XDO_?FINAL_NAME?36?">#REF!</definedName>
    <definedName name="XDO_?FINAL_NAME?37?">#REF!</definedName>
    <definedName name="XDO_?FINAL_NAME?4?">#REF!</definedName>
    <definedName name="XDO_?FINAL_NAME?43?">#REF!</definedName>
    <definedName name="XDO_?FINAL_NAME?44?">#REF!</definedName>
    <definedName name="XDO_?FINAL_NAME?5?">#REF!</definedName>
    <definedName name="XDO_?FINAL_NAME?533?">#REF!</definedName>
    <definedName name="XDO_?FINAL_NAME?534?">#REF!</definedName>
    <definedName name="XDO_?FINAL_NAME?535?">#REF!</definedName>
    <definedName name="XDO_?FINAL_NAME?536?">#REF!</definedName>
    <definedName name="XDO_?FINAL_NAME?537?">#REF!</definedName>
    <definedName name="XDO_?FINAL_NAME?538?">#REF!</definedName>
    <definedName name="XDO_?FINAL_NAME?539?">#REF!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6?">#REF!</definedName>
    <definedName name="XDO_?FINAL_NAME?7?">#REF!</definedName>
    <definedName name="XDO_?FINAL_NAME?8?">#REF!</definedName>
    <definedName name="XDO_?FINAL_PER_NET?1?">#REF!</definedName>
    <definedName name="XDO_?FINAL_PER_NET?106?">[1]SFEF!$H$10:$H$35</definedName>
    <definedName name="XDO_?FINAL_PER_NET?143?">SMAAF!$H$10:$H$58</definedName>
    <definedName name="XDO_?FINAL_PER_NET?144?">SMAAF!$H$10:$H$66</definedName>
    <definedName name="XDO_?FINAL_PER_NET?145?">SMAAF!$H$10:$H$70</definedName>
    <definedName name="XDO_?FINAL_PER_NET?146?">SMAAF!$H$10:$H$106</definedName>
    <definedName name="XDO_?FINAL_PER_NET?147?">SMAAF!$H$10:$H$117</definedName>
    <definedName name="XDO_?FINAL_PER_NET?148?">SMAAF!$H$10:$H$138</definedName>
    <definedName name="XDO_?FINAL_PER_NET?149?">SMAAF!$H$10:$H$150</definedName>
    <definedName name="XDO_?FINAL_PER_NET?150?">SMAAF!$H$10:$H$155</definedName>
    <definedName name="XDO_?FINAL_PER_NET?17?">#REF!</definedName>
    <definedName name="XDO_?FINAL_PER_NET?18?">#REF!</definedName>
    <definedName name="XDO_?FINAL_PER_NET?19?">#REF!</definedName>
    <definedName name="XDO_?FINAL_PER_NET?2?">#REF!</definedName>
    <definedName name="XDO_?FINAL_PER_NET?20?">#REF!</definedName>
    <definedName name="XDO_?FINAL_PER_NET?25?">#REF!</definedName>
    <definedName name="XDO_?FINAL_PER_NET?26?">#REF!</definedName>
    <definedName name="XDO_?FINAL_PER_NET?27?">[1]SEHF!$H$10:$H$39</definedName>
    <definedName name="XDO_?FINAL_PER_NET?3?">#REF!</definedName>
    <definedName name="XDO_?FINAL_PER_NET?36?">#REF!</definedName>
    <definedName name="XDO_?FINAL_PER_NET?362?">[1]SBAF!$H$10:$H$97</definedName>
    <definedName name="XDO_?FINAL_PER_NET?37?">#REF!</definedName>
    <definedName name="XDO_?FINAL_PER_NET?4?">#REF!</definedName>
    <definedName name="XDO_?FINAL_PER_NET?43?">#REF!</definedName>
    <definedName name="XDO_?FINAL_PER_NET?44?">#REF!</definedName>
    <definedName name="XDO_?FINAL_PER_NET?5?">#REF!</definedName>
    <definedName name="XDO_?FINAL_PER_NET?533?">#REF!</definedName>
    <definedName name="XDO_?FINAL_PER_NET?534?">#REF!</definedName>
    <definedName name="XDO_?FINAL_PER_NET?535?">#REF!</definedName>
    <definedName name="XDO_?FINAL_PER_NET?536?">#REF!</definedName>
    <definedName name="XDO_?FINAL_PER_NET?537?">#REF!</definedName>
    <definedName name="XDO_?FINAL_PER_NET?538?">#REF!</definedName>
    <definedName name="XDO_?FINAL_PER_NET?539?">#REF!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6?">#REF!</definedName>
    <definedName name="XDO_?FINAL_PER_NET?7?">#REF!</definedName>
    <definedName name="XDO_?FINAL_PER_NET?8?">#REF!</definedName>
    <definedName name="XDO_?FINAL_QUANTITE?1?">#REF!</definedName>
    <definedName name="XDO_?FINAL_QUANTITE?143?">SMAAF!$F$10:$F$58</definedName>
    <definedName name="XDO_?FINAL_QUANTITE?144?">SMAAF!$F$10:$F$66</definedName>
    <definedName name="XDO_?FINAL_QUANTITE?145?">SMAAF!$F$10:$F$70</definedName>
    <definedName name="XDO_?FINAL_QUANTITE?146?">SMAAF!$F$10:$F$106</definedName>
    <definedName name="XDO_?FINAL_QUANTITE?147?">SMAAF!$F$10:$F$117</definedName>
    <definedName name="XDO_?FINAL_QUANTITE?148?">SMAAF!$F$10:$F$138</definedName>
    <definedName name="XDO_?FINAL_QUANTITE?149?">SMAAF!$F$10:$F$150</definedName>
    <definedName name="XDO_?FINAL_QUANTITE?150?">SMAAF!$F$10:$F$155</definedName>
    <definedName name="XDO_?FINAL_QUANTITE?17?">#REF!</definedName>
    <definedName name="XDO_?FINAL_QUANTITE?18?">#REF!</definedName>
    <definedName name="XDO_?FINAL_QUANTITE?19?">#REF!</definedName>
    <definedName name="XDO_?FINAL_QUANTITE?2?">#REF!</definedName>
    <definedName name="XDO_?FINAL_QUANTITE?20?">#REF!</definedName>
    <definedName name="XDO_?FINAL_QUANTITE?25?">#REF!</definedName>
    <definedName name="XDO_?FINAL_QUANTITE?26?">#REF!</definedName>
    <definedName name="XDO_?FINAL_QUANTITE?3?">#REF!</definedName>
    <definedName name="XDO_?FINAL_QUANTITE?36?">#REF!</definedName>
    <definedName name="XDO_?FINAL_QUANTITE?37?">#REF!</definedName>
    <definedName name="XDO_?FINAL_QUANTITE?4?">#REF!</definedName>
    <definedName name="XDO_?FINAL_QUANTITE?43?">#REF!</definedName>
    <definedName name="XDO_?FINAL_QUANTITE?44?">#REF!</definedName>
    <definedName name="XDO_?FINAL_QUANTITE?5?">#REF!</definedName>
    <definedName name="XDO_?FINAL_QUANTITE?533?">#REF!</definedName>
    <definedName name="XDO_?FINAL_QUANTITE?534?">#REF!</definedName>
    <definedName name="XDO_?FINAL_QUANTITE?535?">#REF!</definedName>
    <definedName name="XDO_?FINAL_QUANTITE?536?">#REF!</definedName>
    <definedName name="XDO_?FINAL_QUANTITE?537?">#REF!</definedName>
    <definedName name="XDO_?FINAL_QUANTITE?538?">#REF!</definedName>
    <definedName name="XDO_?FINAL_QUANTITE?539?">#REF!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6?">#REF!</definedName>
    <definedName name="XDO_?FINAL_QUANTITE?7?">#REF!</definedName>
    <definedName name="XDO_?FINAL_QUANTITE?8?">#REF!</definedName>
    <definedName name="XDO_?NAMC?">[1]SMEEF!#REF!</definedName>
    <definedName name="XDO_?NAMC?1?">#REF!</definedName>
    <definedName name="XDO_?NAMC?10?">#REF!</definedName>
    <definedName name="XDO_?NAMC?100?">[1]SMCF!#REF!</definedName>
    <definedName name="XDO_?NAMC?101?">'[1]SFMP- Series 61'!#REF!</definedName>
    <definedName name="XDO_?NAMC?102?">'[1]SFMP- Series 66'!#REF!</definedName>
    <definedName name="XDO_?NAMC?103?">'[1]SFMP- Series 67'!#REF!</definedName>
    <definedName name="XDO_?NAMC?104?">'[1]SFMP- Series 64'!#REF!</definedName>
    <definedName name="XDO_?NAMC?105?">'[1]SFMP- Series 68'!#REF!</definedName>
    <definedName name="XDO_?NAMC?106?">[1]SNM150IF!#REF!</definedName>
    <definedName name="XDO_?NAMC?107?">[1]SNS250IF!#REF!</definedName>
    <definedName name="XDO_?NAMC?108?">'[1]SCIGI-JUN 2036'!#REF!</definedName>
    <definedName name="XDO_?NAMC?109?">'[1]SCIGI-APR 2029'!#REF!</definedName>
    <definedName name="XDO_?NAMC?11?">[1]SEHF!#REF!</definedName>
    <definedName name="XDO_?NAMC?110?">'[1]SCISI-SEP 2027'!#REF!</definedName>
    <definedName name="XDO_?NAMC?111?">'[1]SFMP- Series 72'!#REF!</definedName>
    <definedName name="XDO_?NAMC?112?">'[1]SFMP- Series 73'!#REF!</definedName>
    <definedName name="XDO_?NAMC?113?">[1]SLDF!#REF!</definedName>
    <definedName name="XDO_?NAMC?114?">'[1]SFMP- Series 74'!#REF!</definedName>
    <definedName name="XDO_?NAMC?115?">'[1]SFMP- Series 76'!#REF!</definedName>
    <definedName name="XDO_?NAMC?116?">'[1]SFMP- Series 78'!#REF!</definedName>
    <definedName name="XDO_?NAMC?117?">[1]SDYF!#REF!</definedName>
    <definedName name="XDO_?NAMC?118?">'[1]SFMP- Series 79'!#REF!</definedName>
    <definedName name="XDO_?NAMC?119?">'[1]SFMP- Series 81'!#REF!</definedName>
    <definedName name="XDO_?NAMC?12?">#REF!</definedName>
    <definedName name="XDO_?NAMC?120?">'[1]SBI-BSE-SENSEX-IF'!#REF!</definedName>
    <definedName name="XDO_?NAMC?121?">[1]LIQUIDSBI!#REF!</definedName>
    <definedName name="XDO_?NAMC?122?">[1]SN50EWIF!#REF!</definedName>
    <definedName name="XDO_?NAMC?123?">[1]SEOF!#REF!</definedName>
    <definedName name="XDO_?NAMC?124?">'[1]SBI-AOF'!#REF!</definedName>
    <definedName name="XDO_?NAMC?125?">'[1]SBI Silver ETF'!#REF!</definedName>
    <definedName name="XDO_?NAMC?126?">'[1]SBI Silver ETF Fund of Fund'!#REF!</definedName>
    <definedName name="XDO_?NAMC?127?">'[1]SBI Nifty50 Equal Weight ETF'!#REF!</definedName>
    <definedName name="XDO_?NAMC?128?">[1]SIOF!#REF!</definedName>
    <definedName name="XDO_?NAMC?129?">'[1]SBI Nifty 500 Index Fund'!#REF!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'[1]SLTAF-I'!#REF!</definedName>
    <definedName name="XDO_?NAMC?48?">'[1]SLTAF-II'!#REF!</definedName>
    <definedName name="XDO_?NAMC?49?">[1]SBFS!#REF!</definedName>
    <definedName name="XDO_?NAMC?5?">[1]SLMF!#REF!</definedName>
    <definedName name="XDO_?NAMC?50?">[1]SETFNN50!#REF!</definedName>
    <definedName name="XDO_?NAMC?51?">[1]SETFNIFBK!#REF!</definedName>
    <definedName name="XDO_?NAMC?52?">[1]SETFBSE100!#REF!</definedName>
    <definedName name="XDO_?NAMC?53?">[1]SESF!#REF!</definedName>
    <definedName name="XDO_?NAMC?54?">[1]SETFNIF50!#REF!</definedName>
    <definedName name="XDO_?NAMC?55?">'[1]SLTAF-III'!#REF!</definedName>
    <definedName name="XDO_?NAMC?56?">[1]SETF10GILT!#REF!</definedName>
    <definedName name="XDO_?NAMC?57?">'[1]SLTAF-IV'!#REF!</definedName>
    <definedName name="XDO_?NAMC?58?">'[1]SLTAF-V'!#REF!</definedName>
    <definedName name="XDO_?NAMC?59?">'[1]SLTAF-VI'!#REF!</definedName>
    <definedName name="XDO_?NAMC?6?">[1]SLTEF!#REF!</definedName>
    <definedName name="XDO_?NAMC?60?">[1]SETFSN50!#REF!</definedName>
    <definedName name="XDO_?NAMC?61?">[1]SBIETFQLTY!#REF!</definedName>
    <definedName name="XDO_?NAMC?62?">[1]SCBF!#REF!</definedName>
    <definedName name="XDO_?NAMC?63?">[1]SEMVF!#REF!</definedName>
    <definedName name="XDO_?NAMC?64?">'[1]SFMP- Series 1'!#REF!</definedName>
    <definedName name="XDO_?NAMC?65?">'[1]SFMP- Series 6'!#REF!</definedName>
    <definedName name="XDO_?NAMC?66?">'[1]SFMP- Series 34'!#REF!</definedName>
    <definedName name="XDO_?NAMC?67?">'[1]SMCBF-IP'!#REF!</definedName>
    <definedName name="XDO_?NAMC?68?">[1]SFRDF!#REF!</definedName>
    <definedName name="XDO_?NAMC?69?">[1]SBIETFIT!#REF!</definedName>
    <definedName name="XDO_?NAMC?7?">#REF!</definedName>
    <definedName name="XDO_?NAMC?70?">[1]SBIETFPB!#REF!</definedName>
    <definedName name="XDO_?NAMC?71?">'[1]SRBF-AP'!#REF!</definedName>
    <definedName name="XDO_?NAMC?72?">'[1]SRBF-AHP'!#REF!</definedName>
    <definedName name="XDO_?NAMC?73?">'[1]SRBF-CHP'!#REF!</definedName>
    <definedName name="XDO_?NAMC?74?">'[1]SRBF-CP'!#REF!</definedName>
    <definedName name="XDO_?NAMC?75?">'[1]SIA-US EQUITY FOF'!#REF!</definedName>
    <definedName name="XDO_?NAMC?76?">'[1]SFMP- Series 41'!#REF!</definedName>
    <definedName name="XDO_?NAMC?77?">'[1]SFMP- Series 42'!#REF!</definedName>
    <definedName name="XDO_?NAMC?78?">'[1]SFMP- Series 43'!#REF!</definedName>
    <definedName name="XDO_?NAMC?79?">[1]SNN50!#REF!</definedName>
    <definedName name="XDO_?NAMC?8?">#REF!</definedName>
    <definedName name="XDO_?NAMC?80?">'[1]SFMP- Series 44'!#REF!</definedName>
    <definedName name="XDO_?NAMC?81?">'[1]SFMP- Series 45'!#REF!</definedName>
    <definedName name="XDO_?NAMC?82?">[1]SBIETFCON!#REF!</definedName>
    <definedName name="XDO_?NAMC?83?">'[1]SFMP- Series 46'!#REF!</definedName>
    <definedName name="XDO_?NAMC?84?">'[1]SFMP- Series 47'!#REF!</definedName>
    <definedName name="XDO_?NAMC?85?">'[1]SFMP- Series 48'!#REF!</definedName>
    <definedName name="XDO_?NAMC?86?">[1]SBAF!#REF!</definedName>
    <definedName name="XDO_?NAMC?87?">'[1]SFMP- Series 49'!#REF!</definedName>
    <definedName name="XDO_?NAMC?88?">'[1]SFMP- Series 50'!#REF!</definedName>
    <definedName name="XDO_?NAMC?89?">'[1]SFMP- Series 51'!#REF!</definedName>
    <definedName name="XDO_?NAMC?9?">[1]SMGLF!#REF!</definedName>
    <definedName name="XDO_?NAMC?90?">'[1]SFMP- Series 52'!#REF!</definedName>
    <definedName name="XDO_?NAMC?91?">'[1]SFMP- Series 53'!#REF!</definedName>
    <definedName name="XDO_?NAMC?92?">'[1]SFMP- Series 54'!#REF!</definedName>
    <definedName name="XDO_?NAMC?93?">'[1]SFMP- Series 55'!#REF!</definedName>
    <definedName name="XDO_?NAMC?94?">'[1]SFMP- Series 56'!#REF!</definedName>
    <definedName name="XDO_?NAMC?95?">'[1]SFMP- Series 57'!#REF!</definedName>
    <definedName name="XDO_?NAMC?96?">'[1]SFMP- Series 58'!#REF!</definedName>
    <definedName name="XDO_?NAMC?97?">[1]SCPSE!#REF!</definedName>
    <definedName name="XDO_?NAMC?98?">'[1]SFMP- Series 59'!#REF!</definedName>
    <definedName name="XDO_?NAMC?99?">'[1]SFMP- Series 60'!#REF!</definedName>
    <definedName name="XDO_?NAMCNAME?1?">#REF!</definedName>
    <definedName name="XDO_?NAMCNAME?10?">#REF!</definedName>
    <definedName name="XDO_?NAMCNAME?12?">#REF!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4?">#REF!</definedName>
    <definedName name="XDO_?NAMCNAME?2?">#REF!</definedName>
    <definedName name="XDO_?NAMCNAME?3?">#REF!</definedName>
    <definedName name="XDO_?NAMCNAME?35?">SMAAF!$C$2:$C$58</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[1]SMCF!#REF!</definedName>
    <definedName name="XDO_?NDATE?101?">'[1]SFMP- Series 61'!#REF!</definedName>
    <definedName name="XDO_?NDATE?102?">'[1]SFMP- Series 66'!#REF!</definedName>
    <definedName name="XDO_?NDATE?103?">'[1]SFMP- Series 67'!#REF!</definedName>
    <definedName name="XDO_?NDATE?104?">'[1]SFMP- Series 64'!#REF!</definedName>
    <definedName name="XDO_?NDATE?105?">'[1]SFMP- Series 68'!#REF!</definedName>
    <definedName name="XDO_?NDATE?106?">[1]SNM150IF!#REF!</definedName>
    <definedName name="XDO_?NDATE?107?">[1]SNS250IF!#REF!</definedName>
    <definedName name="XDO_?NDATE?108?">'[1]SCIGI-JUN 2036'!#REF!</definedName>
    <definedName name="XDO_?NDATE?109?">'[1]SCIGI-APR 2029'!#REF!</definedName>
    <definedName name="XDO_?NDATE?11?">[1]SEHF!#REF!</definedName>
    <definedName name="XDO_?NDATE?110?">'[1]SCISI-SEP 2027'!#REF!</definedName>
    <definedName name="XDO_?NDATE?111?">'[1]SFMP- Series 72'!#REF!</definedName>
    <definedName name="XDO_?NDATE?112?">'[1]SFMP- Series 73'!#REF!</definedName>
    <definedName name="XDO_?NDATE?113?">[1]SLDF!#REF!</definedName>
    <definedName name="XDO_?NDATE?114?">'[1]SFMP- Series 74'!#REF!</definedName>
    <definedName name="XDO_?NDATE?115?">'[1]SFMP- Series 76'!#REF!</definedName>
    <definedName name="XDO_?NDATE?116?">'[1]SFMP- Series 78'!#REF!</definedName>
    <definedName name="XDO_?NDATE?117?">[1]SDYF!#REF!</definedName>
    <definedName name="XDO_?NDATE?118?">'[1]SFMP- Series 79'!#REF!</definedName>
    <definedName name="XDO_?NDATE?119?">'[1]SFMP- Series 81'!#REF!</definedName>
    <definedName name="XDO_?NDATE?12?">#REF!</definedName>
    <definedName name="XDO_?NDATE?120?">'[1]SBI-BSE-SENSEX-IF'!#REF!</definedName>
    <definedName name="XDO_?NDATE?121?">[1]LIQUIDSBI!#REF!</definedName>
    <definedName name="XDO_?NDATE?122?">[1]SN50EWIF!#REF!</definedName>
    <definedName name="XDO_?NDATE?123?">[1]SEOF!#REF!</definedName>
    <definedName name="XDO_?NDATE?124?">'[1]SBI-AOF'!#REF!</definedName>
    <definedName name="XDO_?NDATE?125?">'[1]SBI Silver ETF'!#REF!</definedName>
    <definedName name="XDO_?NDATE?126?">'[1]SBI Silver ETF Fund of Fund'!#REF!</definedName>
    <definedName name="XDO_?NDATE?127?">'[1]SBI Nifty50 Equal Weight ETF'!#REF!</definedName>
    <definedName name="XDO_?NDATE?128?">[1]SIOF!#REF!</definedName>
    <definedName name="XDO_?NDATE?129?">'[1]SBI Nifty 500 Index Fund'!#REF!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'[1]SLTAF-I'!#REF!</definedName>
    <definedName name="XDO_?NDATE?48?">'[1]SLTAF-II'!#REF!</definedName>
    <definedName name="XDO_?NDATE?49?">[1]SBFS!#REF!</definedName>
    <definedName name="XDO_?NDATE?5?">[1]SLMF!#REF!</definedName>
    <definedName name="XDO_?NDATE?50?">[1]SETFNN50!#REF!</definedName>
    <definedName name="XDO_?NDATE?51?">[1]SETFNIFBK!#REF!</definedName>
    <definedName name="XDO_?NDATE?52?">[1]SETFBSE100!#REF!</definedName>
    <definedName name="XDO_?NDATE?53?">[1]SESF!#REF!</definedName>
    <definedName name="XDO_?NDATE?54?">[1]SETFNIF50!#REF!</definedName>
    <definedName name="XDO_?NDATE?55?">'[1]SLTAF-III'!#REF!</definedName>
    <definedName name="XDO_?NDATE?56?">[1]SETF10GILT!#REF!</definedName>
    <definedName name="XDO_?NDATE?57?">'[1]SLTAF-IV'!#REF!</definedName>
    <definedName name="XDO_?NDATE?58?">'[1]SLTAF-V'!#REF!</definedName>
    <definedName name="XDO_?NDATE?59?">'[1]SLTAF-VI'!#REF!</definedName>
    <definedName name="XDO_?NDATE?6?">[1]SLTEF!#REF!</definedName>
    <definedName name="XDO_?NDATE?60?">[1]SETFSN50!#REF!</definedName>
    <definedName name="XDO_?NDATE?61?">[1]SBIETFQLTY!#REF!</definedName>
    <definedName name="XDO_?NDATE?62?">[1]SCBF!#REF!</definedName>
    <definedName name="XDO_?NDATE?63?">[1]SEMVF!#REF!</definedName>
    <definedName name="XDO_?NDATE?64?">'[1]SFMP- Series 1'!#REF!</definedName>
    <definedName name="XDO_?NDATE?65?">'[1]SFMP- Series 6'!#REF!</definedName>
    <definedName name="XDO_?NDATE?66?">'[1]SFMP- Series 34'!#REF!</definedName>
    <definedName name="XDO_?NDATE?67?">'[1]SMCBF-IP'!#REF!</definedName>
    <definedName name="XDO_?NDATE?68?">[1]SFRDF!#REF!</definedName>
    <definedName name="XDO_?NDATE?69?">[1]SBIETFIT!#REF!</definedName>
    <definedName name="XDO_?NDATE?7?">#REF!</definedName>
    <definedName name="XDO_?NDATE?70?">[1]SBIETFPB!#REF!</definedName>
    <definedName name="XDO_?NDATE?71?">'[1]SRBF-AP'!#REF!</definedName>
    <definedName name="XDO_?NDATE?72?">'[1]SRBF-AHP'!#REF!</definedName>
    <definedName name="XDO_?NDATE?73?">'[1]SRBF-CHP'!#REF!</definedName>
    <definedName name="XDO_?NDATE?74?">'[1]SRBF-CP'!#REF!</definedName>
    <definedName name="XDO_?NDATE?75?">'[1]SIA-US EQUITY FOF'!#REF!</definedName>
    <definedName name="XDO_?NDATE?76?">'[1]SFMP- Series 41'!#REF!</definedName>
    <definedName name="XDO_?NDATE?77?">'[1]SFMP- Series 42'!#REF!</definedName>
    <definedName name="XDO_?NDATE?78?">'[1]SFMP- Series 43'!#REF!</definedName>
    <definedName name="XDO_?NDATE?79?">[1]SNN50!#REF!</definedName>
    <definedName name="XDO_?NDATE?8?">#REF!</definedName>
    <definedName name="XDO_?NDATE?80?">'[1]SFMP- Series 44'!#REF!</definedName>
    <definedName name="XDO_?NDATE?81?">'[1]SFMP- Series 45'!#REF!</definedName>
    <definedName name="XDO_?NDATE?82?">[1]SBIETFCON!#REF!</definedName>
    <definedName name="XDO_?NDATE?83?">'[1]SFMP- Series 46'!#REF!</definedName>
    <definedName name="XDO_?NDATE?84?">'[1]SFMP- Series 47'!#REF!</definedName>
    <definedName name="XDO_?NDATE?85?">'[1]SFMP- Series 48'!#REF!</definedName>
    <definedName name="XDO_?NDATE?86?">[1]SBAF!#REF!</definedName>
    <definedName name="XDO_?NDATE?87?">'[1]SFMP- Series 49'!#REF!</definedName>
    <definedName name="XDO_?NDATE?88?">'[1]SFMP- Series 50'!#REF!</definedName>
    <definedName name="XDO_?NDATE?89?">'[1]SFMP- Series 51'!#REF!</definedName>
    <definedName name="XDO_?NDATE?9?">[1]SMGLF!#REF!</definedName>
    <definedName name="XDO_?NDATE?90?">'[1]SFMP- Series 52'!#REF!</definedName>
    <definedName name="XDO_?NDATE?91?">'[1]SFMP- Series 53'!#REF!</definedName>
    <definedName name="XDO_?NDATE?92?">'[1]SFMP- Series 54'!#REF!</definedName>
    <definedName name="XDO_?NDATE?93?">'[1]SFMP- Series 55'!#REF!</definedName>
    <definedName name="XDO_?NDATE?94?">'[1]SFMP- Series 56'!#REF!</definedName>
    <definedName name="XDO_?NDATE?95?">'[1]SFMP- Series 57'!#REF!</definedName>
    <definedName name="XDO_?NDATE?96?">'[1]SFMP- Series 58'!#REF!</definedName>
    <definedName name="XDO_?NDATE?97?">[1]SCPSE!#REF!</definedName>
    <definedName name="XDO_?NDATE?98?">'[1]SFMP- Series 59'!#REF!</definedName>
    <definedName name="XDO_?NDATE?99?">'[1]SFMP- Series 60'!#REF!</definedName>
    <definedName name="XDO_?NNPTF?">[1]SMEEF!#REF!</definedName>
    <definedName name="XDO_?NNPTF?1?">#REF!</definedName>
    <definedName name="XDO_?NNPTF?10?">#REF!</definedName>
    <definedName name="XDO_?NNPTF?100?">[1]SMCF!#REF!</definedName>
    <definedName name="XDO_?NNPTF?101?">'[1]SFMP- Series 61'!#REF!</definedName>
    <definedName name="XDO_?NNPTF?102?">'[1]SFMP- Series 66'!#REF!</definedName>
    <definedName name="XDO_?NNPTF?103?">'[1]SFMP- Series 67'!#REF!</definedName>
    <definedName name="XDO_?NNPTF?104?">'[1]SFMP- Series 64'!#REF!</definedName>
    <definedName name="XDO_?NNPTF?105?">'[1]SFMP- Series 68'!#REF!</definedName>
    <definedName name="XDO_?NNPTF?106?">[1]SNM150IF!#REF!</definedName>
    <definedName name="XDO_?NNPTF?107?">[1]SNS250IF!#REF!</definedName>
    <definedName name="XDO_?NNPTF?108?">'[1]SCIGI-JUN 2036'!#REF!</definedName>
    <definedName name="XDO_?NNPTF?109?">'[1]SCIGI-APR 2029'!#REF!</definedName>
    <definedName name="XDO_?NNPTF?11?">[1]SEHF!#REF!</definedName>
    <definedName name="XDO_?NNPTF?110?">'[1]SCISI-SEP 2027'!#REF!</definedName>
    <definedName name="XDO_?NNPTF?111?">'[1]SFMP- Series 72'!#REF!</definedName>
    <definedName name="XDO_?NNPTF?112?">'[1]SFMP- Series 73'!#REF!</definedName>
    <definedName name="XDO_?NNPTF?113?">[1]SLDF!#REF!</definedName>
    <definedName name="XDO_?NNPTF?114?">'[1]SFMP- Series 74'!#REF!</definedName>
    <definedName name="XDO_?NNPTF?115?">'[1]SFMP- Series 76'!#REF!</definedName>
    <definedName name="XDO_?NNPTF?116?">'[1]SFMP- Series 78'!#REF!</definedName>
    <definedName name="XDO_?NNPTF?117?">[1]SDYF!#REF!</definedName>
    <definedName name="XDO_?NNPTF?118?">'[1]SFMP- Series 79'!#REF!</definedName>
    <definedName name="XDO_?NNPTF?119?">'[1]SFMP- Series 81'!#REF!</definedName>
    <definedName name="XDO_?NNPTF?12?">#REF!</definedName>
    <definedName name="XDO_?NNPTF?120?">'[1]SBI-BSE-SENSEX-IF'!#REF!</definedName>
    <definedName name="XDO_?NNPTF?121?">[1]LIQUIDSBI!#REF!</definedName>
    <definedName name="XDO_?NNPTF?122?">[1]SN50EWIF!#REF!</definedName>
    <definedName name="XDO_?NNPTF?123?">[1]SEOF!#REF!</definedName>
    <definedName name="XDO_?NNPTF?124?">'[1]SBI-AOF'!#REF!</definedName>
    <definedName name="XDO_?NNPTF?125?">'[1]SBI Silver ETF'!#REF!</definedName>
    <definedName name="XDO_?NNPTF?126?">'[1]SBI Silver ETF Fund of Fund'!#REF!</definedName>
    <definedName name="XDO_?NNPTF?127?">'[1]SBI Nifty50 Equal Weight ETF'!#REF!</definedName>
    <definedName name="XDO_?NNPTF?128?">[1]SIOF!#REF!</definedName>
    <definedName name="XDO_?NNPTF?129?">'[1]SBI Nifty 500 Index Fund'!#REF!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'[1]SLTAF-I'!#REF!</definedName>
    <definedName name="XDO_?NNPTF?48?">'[1]SLTAF-II'!#REF!</definedName>
    <definedName name="XDO_?NNPTF?49?">[1]SBFS!#REF!</definedName>
    <definedName name="XDO_?NNPTF?5?">[1]SLMF!#REF!</definedName>
    <definedName name="XDO_?NNPTF?50?">[1]SETFNN50!#REF!</definedName>
    <definedName name="XDO_?NNPTF?51?">[1]SETFNIFBK!#REF!</definedName>
    <definedName name="XDO_?NNPTF?52?">[1]SETFBSE100!#REF!</definedName>
    <definedName name="XDO_?NNPTF?53?">[1]SESF!#REF!</definedName>
    <definedName name="XDO_?NNPTF?54?">[1]SETFNIF50!#REF!</definedName>
    <definedName name="XDO_?NNPTF?55?">'[1]SLTAF-III'!#REF!</definedName>
    <definedName name="XDO_?NNPTF?56?">[1]SETF10GILT!#REF!</definedName>
    <definedName name="XDO_?NNPTF?57?">'[1]SLTAF-IV'!#REF!</definedName>
    <definedName name="XDO_?NNPTF?58?">'[1]SLTAF-V'!#REF!</definedName>
    <definedName name="XDO_?NNPTF?59?">'[1]SLTAF-VI'!#REF!</definedName>
    <definedName name="XDO_?NNPTF?6?">[1]SLTEF!#REF!</definedName>
    <definedName name="XDO_?NNPTF?60?">[1]SETFSN50!#REF!</definedName>
    <definedName name="XDO_?NNPTF?61?">[1]SBIETFQLTY!#REF!</definedName>
    <definedName name="XDO_?NNPTF?62?">[1]SCBF!#REF!</definedName>
    <definedName name="XDO_?NNPTF?63?">[1]SEMVF!#REF!</definedName>
    <definedName name="XDO_?NNPTF?64?">'[1]SFMP- Series 1'!#REF!</definedName>
    <definedName name="XDO_?NNPTF?65?">'[1]SFMP- Series 6'!#REF!</definedName>
    <definedName name="XDO_?NNPTF?66?">'[1]SFMP- Series 34'!#REF!</definedName>
    <definedName name="XDO_?NNPTF?67?">'[1]SMCBF-IP'!#REF!</definedName>
    <definedName name="XDO_?NNPTF?68?">[1]SFRDF!#REF!</definedName>
    <definedName name="XDO_?NNPTF?69?">[1]SBIETFIT!#REF!</definedName>
    <definedName name="XDO_?NNPTF?7?">#REF!</definedName>
    <definedName name="XDO_?NNPTF?70?">[1]SBIETFPB!#REF!</definedName>
    <definedName name="XDO_?NNPTF?71?">'[1]SRBF-AP'!#REF!</definedName>
    <definedName name="XDO_?NNPTF?72?">'[1]SRBF-AHP'!#REF!</definedName>
    <definedName name="XDO_?NNPTF?73?">'[1]SRBF-CHP'!#REF!</definedName>
    <definedName name="XDO_?NNPTF?74?">'[1]SRBF-CP'!#REF!</definedName>
    <definedName name="XDO_?NNPTF?75?">'[1]SIA-US EQUITY FOF'!#REF!</definedName>
    <definedName name="XDO_?NNPTF?76?">'[1]SFMP- Series 41'!#REF!</definedName>
    <definedName name="XDO_?NNPTF?77?">'[1]SFMP- Series 42'!#REF!</definedName>
    <definedName name="XDO_?NNPTF?78?">'[1]SFMP- Series 43'!#REF!</definedName>
    <definedName name="XDO_?NNPTF?79?">[1]SNN50!#REF!</definedName>
    <definedName name="XDO_?NNPTF?8?">#REF!</definedName>
    <definedName name="XDO_?NNPTF?80?">'[1]SFMP- Series 44'!#REF!</definedName>
    <definedName name="XDO_?NNPTF?81?">'[1]SFMP- Series 45'!#REF!</definedName>
    <definedName name="XDO_?NNPTF?82?">[1]SBIETFCON!#REF!</definedName>
    <definedName name="XDO_?NNPTF?83?">'[1]SFMP- Series 46'!#REF!</definedName>
    <definedName name="XDO_?NNPTF?84?">'[1]SFMP- Series 47'!#REF!</definedName>
    <definedName name="XDO_?NNPTF?85?">'[1]SFMP- Series 48'!#REF!</definedName>
    <definedName name="XDO_?NNPTF?86?">[1]SBAF!#REF!</definedName>
    <definedName name="XDO_?NNPTF?87?">'[1]SFMP- Series 49'!#REF!</definedName>
    <definedName name="XDO_?NNPTF?88?">'[1]SFMP- Series 50'!#REF!</definedName>
    <definedName name="XDO_?NNPTF?89?">'[1]SFMP- Series 51'!#REF!</definedName>
    <definedName name="XDO_?NNPTF?9?">[1]SMGLF!#REF!</definedName>
    <definedName name="XDO_?NNPTF?90?">'[1]SFMP- Series 52'!#REF!</definedName>
    <definedName name="XDO_?NNPTF?91?">'[1]SFMP- Series 53'!#REF!</definedName>
    <definedName name="XDO_?NNPTF?92?">'[1]SFMP- Series 54'!#REF!</definedName>
    <definedName name="XDO_?NNPTF?93?">'[1]SFMP- Series 55'!#REF!</definedName>
    <definedName name="XDO_?NNPTF?94?">'[1]SFMP- Series 56'!#REF!</definedName>
    <definedName name="XDO_?NNPTF?95?">'[1]SFMP- Series 57'!#REF!</definedName>
    <definedName name="XDO_?NNPTF?96?">'[1]SFMP- Series 58'!#REF!</definedName>
    <definedName name="XDO_?NNPTF?97?">[1]SCPSE!#REF!</definedName>
    <definedName name="XDO_?NNPTF?98?">'[1]SFMP- Series 59'!#REF!</definedName>
    <definedName name="XDO_?NNPTF?99?">'[1]SFMP- Series 60'!#REF!</definedName>
    <definedName name="XDO_?NOVAL?1?">#REF!</definedName>
    <definedName name="XDO_?NOVAL?143?">SMAAF!$B$10:$B$58</definedName>
    <definedName name="XDO_?NOVAL?144?">SMAAF!$B$10:$B$66</definedName>
    <definedName name="XDO_?NOVAL?145?">SMAAF!$B$10:$B$70</definedName>
    <definedName name="XDO_?NOVAL?146?">SMAAF!$B$10:$B$106</definedName>
    <definedName name="XDO_?NOVAL?147?">SMAAF!$B$10:$B$117</definedName>
    <definedName name="XDO_?NOVAL?148?">SMAAF!$B$10:$B$138</definedName>
    <definedName name="XDO_?NOVAL?149?">SMAAF!$B$10:$B$150</definedName>
    <definedName name="XDO_?NOVAL?150?">SMAAF!$B$10:$B$155</definedName>
    <definedName name="XDO_?NOVAL?17?">#REF!</definedName>
    <definedName name="XDO_?NOVAL?18?">#REF!</definedName>
    <definedName name="XDO_?NOVAL?19?">#REF!</definedName>
    <definedName name="XDO_?NOVAL?2?">#REF!</definedName>
    <definedName name="XDO_?NOVAL?20?">#REF!</definedName>
    <definedName name="XDO_?NOVAL?25?">#REF!</definedName>
    <definedName name="XDO_?NOVAL?26?">#REF!</definedName>
    <definedName name="XDO_?NOVAL?3?">#REF!</definedName>
    <definedName name="XDO_?NOVAL?36?">#REF!</definedName>
    <definedName name="XDO_?NOVAL?37?">#REF!</definedName>
    <definedName name="XDO_?NOVAL?4?">#REF!</definedName>
    <definedName name="XDO_?NOVAL?43?">#REF!</definedName>
    <definedName name="XDO_?NOVAL?44?">#REF!</definedName>
    <definedName name="XDO_?NOVAL?5?">#REF!</definedName>
    <definedName name="XDO_?NOVAL?533?">#REF!</definedName>
    <definedName name="XDO_?NOVAL?534?">#REF!</definedName>
    <definedName name="XDO_?NOVAL?535?">#REF!</definedName>
    <definedName name="XDO_?NOVAL?536?">#REF!</definedName>
    <definedName name="XDO_?NOVAL?537?">#REF!</definedName>
    <definedName name="XDO_?NOVAL?538?">#REF!</definedName>
    <definedName name="XDO_?NOVAL?539?">#REF!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6?">#REF!</definedName>
    <definedName name="XDO_?NOVAL?7?">#REF!</definedName>
    <definedName name="XDO_?NOVAL?8?">#REF!</definedName>
    <definedName name="XDO_?NPTF?1?">#REF!</definedName>
    <definedName name="XDO_?NPTF?10?">#REF!</definedName>
    <definedName name="XDO_?NPTF?12?">#REF!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4?">#REF!</definedName>
    <definedName name="XDO_?NPTF?2?">#REF!</definedName>
    <definedName name="XDO_?NPTF?3?">#REF!</definedName>
    <definedName name="XDO_?NPTF?35?">SMAAF!$D$2:$D$58</definedName>
    <definedName name="XDO_?NPTF?4?">#REF!</definedName>
    <definedName name="XDO_?NPTF?7?">#REF!</definedName>
    <definedName name="XDO_?NPTF?8?">#REF!</definedName>
    <definedName name="XDO_?RATING?1?">#REF!</definedName>
    <definedName name="XDO_?RATING?143?">SMAAF!$E$10:$E$58</definedName>
    <definedName name="XDO_?RATING?144?">SMAAF!$E$10:$E$66</definedName>
    <definedName name="XDO_?RATING?145?">SMAAF!$E$10:$E$70</definedName>
    <definedName name="XDO_?RATING?146?">SMAAF!$E$10:$E$106</definedName>
    <definedName name="XDO_?RATING?147?">SMAAF!$E$10:$E$117</definedName>
    <definedName name="XDO_?RATING?148?">SMAAF!$E$10:$E$138</definedName>
    <definedName name="XDO_?RATING?149?">SMAAF!$E$10:$E$150</definedName>
    <definedName name="XDO_?RATING?150?">SMAAF!$E$10:$E$155</definedName>
    <definedName name="XDO_?RATING?17?">#REF!</definedName>
    <definedName name="XDO_?RATING?18?">#REF!</definedName>
    <definedName name="XDO_?RATING?19?">#REF!</definedName>
    <definedName name="XDO_?RATING?2?">#REF!</definedName>
    <definedName name="XDO_?RATING?20?">#REF!</definedName>
    <definedName name="XDO_?RATING?25?">#REF!</definedName>
    <definedName name="XDO_?RATING?26?">#REF!</definedName>
    <definedName name="XDO_?RATING?3?">#REF!</definedName>
    <definedName name="XDO_?RATING?36?">#REF!</definedName>
    <definedName name="XDO_?RATING?37?">#REF!</definedName>
    <definedName name="XDO_?RATING?4?">#REF!</definedName>
    <definedName name="XDO_?RATING?43?">#REF!</definedName>
    <definedName name="XDO_?RATING?44?">#REF!</definedName>
    <definedName name="XDO_?RATING?5?">#REF!</definedName>
    <definedName name="XDO_?RATING?533?">#REF!</definedName>
    <definedName name="XDO_?RATING?534?">#REF!</definedName>
    <definedName name="XDO_?RATING?535?">#REF!</definedName>
    <definedName name="XDO_?RATING?536?">#REF!</definedName>
    <definedName name="XDO_?RATING?537?">#REF!</definedName>
    <definedName name="XDO_?RATING?538?">#REF!</definedName>
    <definedName name="XDO_?RATING?539?">#REF!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6?">#REF!</definedName>
    <definedName name="XDO_?RATING?7?">#REF!</definedName>
    <definedName name="XDO_?RATING?8?">#REF!</definedName>
    <definedName name="XDO_?REMARKS?1?">#REF!</definedName>
    <definedName name="XDO_?REMARKS?143?">SMAAF!$K$10:$K$58</definedName>
    <definedName name="XDO_?REMARKS?144?">SMAAF!$K$10:$K$66</definedName>
    <definedName name="XDO_?REMARKS?145?">SMAAF!$K$10:$K$70</definedName>
    <definedName name="XDO_?REMARKS?146?">SMAAF!$K$10:$K$106</definedName>
    <definedName name="XDO_?REMARKS?147?">SMAAF!$K$10:$K$117</definedName>
    <definedName name="XDO_?REMARKS?148?">SMAAF!$K$10:$K$138</definedName>
    <definedName name="XDO_?REMARKS?149?">SMAAF!$K$10:$K$150</definedName>
    <definedName name="XDO_?REMARKS?150?">SMAAF!$K$10:$K$155</definedName>
    <definedName name="XDO_?REMARKS?17?">#REF!</definedName>
    <definedName name="XDO_?REMARKS?18?">#REF!</definedName>
    <definedName name="XDO_?REMARKS?19?">#REF!</definedName>
    <definedName name="XDO_?REMARKS?2?">#REF!</definedName>
    <definedName name="XDO_?REMARKS?20?">#REF!</definedName>
    <definedName name="XDO_?REMARKS?25?">#REF!</definedName>
    <definedName name="XDO_?REMARKS?26?">#REF!</definedName>
    <definedName name="XDO_?REMARKS?3?">#REF!</definedName>
    <definedName name="XDO_?REMARKS?36?">#REF!</definedName>
    <definedName name="XDO_?REMARKS?37?">#REF!</definedName>
    <definedName name="XDO_?REMARKS?4?">#REF!</definedName>
    <definedName name="XDO_?REMARKS?43?">#REF!</definedName>
    <definedName name="XDO_?REMARKS?44?">#REF!</definedName>
    <definedName name="XDO_?REMARKS?5?">#REF!</definedName>
    <definedName name="XDO_?REMARKS?533?">#REF!</definedName>
    <definedName name="XDO_?REMARKS?534?">#REF!</definedName>
    <definedName name="XDO_?REMARKS?535?">#REF!</definedName>
    <definedName name="XDO_?REMARKS?536?">#REF!</definedName>
    <definedName name="XDO_?REMARKS?537?">#REF!</definedName>
    <definedName name="XDO_?REMARKS?538?">#REF!</definedName>
    <definedName name="XDO_?REMARKS?539?">#REF!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6?">#REF!</definedName>
    <definedName name="XDO_?REMARKS?7?">#REF!</definedName>
    <definedName name="XDO_?REMARKS?8?">#REF!</definedName>
    <definedName name="XDO_?TITL?1?">#REF!</definedName>
    <definedName name="XDO_?TITL?10?">#REF!</definedName>
    <definedName name="XDO_?TITL?12?">#REF!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4?">#REF!</definedName>
    <definedName name="XDO_?TITL?2?">#REF!</definedName>
    <definedName name="XDO_?TITL?3?">#REF!</definedName>
    <definedName name="XDO_?TITL?35?">SMAAF!$A$8:$A$58</definedName>
    <definedName name="XDO_?TITL?4?">#REF!</definedName>
    <definedName name="XDO_?TITL?7?">#REF!</definedName>
    <definedName name="XDO_?TITL?8?">#REF!</definedName>
    <definedName name="XDO_?YTM?1?">#REF!</definedName>
    <definedName name="XDO_?YTM?143?">SMAAF!$I$10:$I$58</definedName>
    <definedName name="XDO_?YTM?144?">SMAAF!$I$10:$I$66</definedName>
    <definedName name="XDO_?YTM?145?">SMAAF!$I$10:$I$70</definedName>
    <definedName name="XDO_?YTM?146?">SMAAF!$I$10:$I$106</definedName>
    <definedName name="XDO_?YTM?147?">SMAAF!$I$10:$I$117</definedName>
    <definedName name="XDO_?YTM?148?">SMAAF!$I$10:$I$138</definedName>
    <definedName name="XDO_?YTM?149?">SMAAF!$I$10:$I$150</definedName>
    <definedName name="XDO_?YTM?150?">SMAAF!$I$10:$I$155</definedName>
    <definedName name="XDO_?YTM?17?">#REF!</definedName>
    <definedName name="XDO_?YTM?18?">#REF!</definedName>
    <definedName name="XDO_?YTM?19?">#REF!</definedName>
    <definedName name="XDO_?YTM?2?">#REF!</definedName>
    <definedName name="XDO_?YTM?20?">#REF!</definedName>
    <definedName name="XDO_?YTM?25?">#REF!</definedName>
    <definedName name="XDO_?YTM?26?">#REF!</definedName>
    <definedName name="XDO_?YTM?3?">#REF!</definedName>
    <definedName name="XDO_?YTM?36?">#REF!</definedName>
    <definedName name="XDO_?YTM?37?">#REF!</definedName>
    <definedName name="XDO_?YTM?4?">#REF!</definedName>
    <definedName name="XDO_?YTM?43?">#REF!</definedName>
    <definedName name="XDO_?YTM?44?">#REF!</definedName>
    <definedName name="XDO_?YTM?5?">#REF!</definedName>
    <definedName name="XDO_?YTM?533?">#REF!</definedName>
    <definedName name="XDO_?YTM?534?">#REF!</definedName>
    <definedName name="XDO_?YTM?535?">#REF!</definedName>
    <definedName name="XDO_?YTM?536?">#REF!</definedName>
    <definedName name="XDO_?YTM?537?">#REF!</definedName>
    <definedName name="XDO_?YTM?538?">#REF!</definedName>
    <definedName name="XDO_?YTM?539?">#REF!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6?">#REF!</definedName>
    <definedName name="XDO_?YTM?7?">#REF!</definedName>
    <definedName name="XDO_?YTM?8?">#REF!</definedName>
    <definedName name="XDO_GROUP_?G_2?1?">#REF!</definedName>
    <definedName name="XDO_GROUP_?G_2?10?">#REF!</definedName>
    <definedName name="XDO_GROUP_?G_2?12?">#REF!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4?">#REF!</definedName>
    <definedName name="XDO_GROUP_?G_2?2?">#REF!</definedName>
    <definedName name="XDO_GROUP_?G_2?3?">#REF!</definedName>
    <definedName name="XDO_GROUP_?G_2?35?">SMAAF!$2:$158</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4?">#REF!</definedName>
    <definedName name="XDO_GROUP_?G_3?2?">#REF!</definedName>
    <definedName name="XDO_GROUP_?G_3?3?">#REF!</definedName>
    <definedName name="XDO_GROUP_?G_3?35?">SMAAF!$8:$157</definedName>
    <definedName name="XDO_GROUP_?G_3?4?">#REF!</definedName>
    <definedName name="XDO_GROUP_?G_3?7?">#REF!</definedName>
    <definedName name="XDO_GROUP_?G_3?8?">#REF!</definedName>
    <definedName name="XDO_GROUP_?G_4?1?">#REF!</definedName>
    <definedName name="XDO_GROUP_?G_4?143?">SMAAF!$B$10:$IV$58</definedName>
    <definedName name="XDO_GROUP_?G_4?144?">SMAAF!$B$66:$IV$66</definedName>
    <definedName name="XDO_GROUP_?G_4?145?">SMAAF!$B$70:$IV$70</definedName>
    <definedName name="XDO_GROUP_?G_4?146?">SMAAF!$B$79:$IV$106</definedName>
    <definedName name="XDO_GROUP_?G_4?147?">SMAAF!$B$114:$IV$117</definedName>
    <definedName name="XDO_GROUP_?G_4?148?">SMAAF!$B$136:$IV$138</definedName>
    <definedName name="XDO_GROUP_?G_4?149?">SMAAF!$B$150:$IV$150</definedName>
    <definedName name="XDO_GROUP_?G_4?150?">SMAAF!$B$155:$IV$155</definedName>
    <definedName name="XDO_GROUP_?G_4?17?">#REF!</definedName>
    <definedName name="XDO_GROUP_?G_4?18?">#REF!</definedName>
    <definedName name="XDO_GROUP_?G_4?19?">#REF!</definedName>
    <definedName name="XDO_GROUP_?G_4?2?">#REF!</definedName>
    <definedName name="XDO_GROUP_?G_4?20?">#REF!</definedName>
    <definedName name="XDO_GROUP_?G_4?25?">#REF!</definedName>
    <definedName name="XDO_GROUP_?G_4?26?">#REF!</definedName>
    <definedName name="XDO_GROUP_?G_4?3?">#REF!</definedName>
    <definedName name="XDO_GROUP_?G_4?36?">#REF!</definedName>
    <definedName name="XDO_GROUP_?G_4?37?">#REF!</definedName>
    <definedName name="XDO_GROUP_?G_4?4?">#REF!</definedName>
    <definedName name="XDO_GROUP_?G_4?43?">#REF!</definedName>
    <definedName name="XDO_GROUP_?G_4?44?">#REF!</definedName>
    <definedName name="XDO_GROUP_?G_4?5?">#REF!</definedName>
    <definedName name="XDO_GROUP_?G_4?533?">#REF!</definedName>
    <definedName name="XDO_GROUP_?G_4?534?">#REF!</definedName>
    <definedName name="XDO_GROUP_?G_4?535?">#REF!</definedName>
    <definedName name="XDO_GROUP_?G_4?536?">#REF!</definedName>
    <definedName name="XDO_GROUP_?G_4?537?">#REF!</definedName>
    <definedName name="XDO_GROUP_?G_4?538?">#REF!</definedName>
    <definedName name="XDO_GROUP_?G_4?539?">#REF!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6?">#REF!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1" l="1"/>
  <c r="G59" i="1"/>
</calcChain>
</file>

<file path=xl/sharedStrings.xml><?xml version="1.0" encoding="utf-8"?>
<sst xmlns="http://schemas.openxmlformats.org/spreadsheetml/2006/main" count="473" uniqueCount="357">
  <si>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</si>
  <si>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</si>
  <si>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</si>
  <si>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</si>
  <si>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</si>
  <si>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</si>
  <si>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</si>
  <si>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</si>
  <si>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</si>
  <si>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</si>
  <si>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</si>
  <si>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</si>
  <si>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</si>
  <si>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</si>
  <si>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</si>
  <si>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</si>
  <si>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</si>
  <si>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100006</t>
  </si>
  <si>
    <t>HDFC Bank Ltd.</t>
  </si>
  <si>
    <t>INE040A01034</t>
  </si>
  <si>
    <t>Banks</t>
  </si>
  <si>
    <t>100675</t>
  </si>
  <si>
    <t>VRL Logistics Ltd.</t>
  </si>
  <si>
    <t>INE366I01010</t>
  </si>
  <si>
    <t>Transport Services</t>
  </si>
  <si>
    <t>100043</t>
  </si>
  <si>
    <t>ZF Commercial Vehicle Control Systems India Ltd.</t>
  </si>
  <si>
    <t>INE342J01019</t>
  </si>
  <si>
    <t>Auto Components</t>
  </si>
  <si>
    <t>100176</t>
  </si>
  <si>
    <t>GAIL (India) Ltd.</t>
  </si>
  <si>
    <t>INE129A01019</t>
  </si>
  <si>
    <t>Gas</t>
  </si>
  <si>
    <t>100011</t>
  </si>
  <si>
    <t>Wipro Ltd.</t>
  </si>
  <si>
    <t>INE075A01022</t>
  </si>
  <si>
    <t>IT - Software</t>
  </si>
  <si>
    <t>100010</t>
  </si>
  <si>
    <t>State Bank of India</t>
  </si>
  <si>
    <t>INE062A01020</t>
  </si>
  <si>
    <t>100257</t>
  </si>
  <si>
    <t>Whirlpool of India Ltd.</t>
  </si>
  <si>
    <t>INE716A01013</t>
  </si>
  <si>
    <t>Consumer Durables</t>
  </si>
  <si>
    <t>100505</t>
  </si>
  <si>
    <t>ICICI Prudential Life Insurance Company Ltd.</t>
  </si>
  <si>
    <t>INE726G01019</t>
  </si>
  <si>
    <t>Insurance</t>
  </si>
  <si>
    <t>102005</t>
  </si>
  <si>
    <t>Tata Technologies Ltd.</t>
  </si>
  <si>
    <t>INE142M01025</t>
  </si>
  <si>
    <t>IT - Services</t>
  </si>
  <si>
    <t>100047</t>
  </si>
  <si>
    <t>Emami Ltd.</t>
  </si>
  <si>
    <t>INE548C01032</t>
  </si>
  <si>
    <t>Personal Products</t>
  </si>
  <si>
    <t>100003</t>
  </si>
  <si>
    <t>Infosys Ltd.</t>
  </si>
  <si>
    <t>INE009A01021</t>
  </si>
  <si>
    <t>100111</t>
  </si>
  <si>
    <t>Oil &amp; Natural Gas Corporation Ltd.</t>
  </si>
  <si>
    <t>INE213A01029</t>
  </si>
  <si>
    <t>Oil</t>
  </si>
  <si>
    <t>100536</t>
  </si>
  <si>
    <t>VIP Industries Ltd.</t>
  </si>
  <si>
    <t>INE054A01027</t>
  </si>
  <si>
    <t>100292</t>
  </si>
  <si>
    <t>Steel Authority of India Ltd.</t>
  </si>
  <si>
    <t>INE114A01011</t>
  </si>
  <si>
    <t>Ferrous Metals</t>
  </si>
  <si>
    <t>100771</t>
  </si>
  <si>
    <t>Bandhan Bank Ltd.</t>
  </si>
  <si>
    <t>INE545U01014</t>
  </si>
  <si>
    <t>100694</t>
  </si>
  <si>
    <t>Indian Energy Exchange Ltd.</t>
  </si>
  <si>
    <t>INE022Q01020</t>
  </si>
  <si>
    <t>Capital Markets</t>
  </si>
  <si>
    <t>101378</t>
  </si>
  <si>
    <t>FSN E-Commerce Ventures Ltd.</t>
  </si>
  <si>
    <t>INE388Y01029</t>
  </si>
  <si>
    <t>Retailing</t>
  </si>
  <si>
    <t>100085</t>
  </si>
  <si>
    <t>Ashoka Buildcon Ltd.</t>
  </si>
  <si>
    <t>INE442H01029</t>
  </si>
  <si>
    <t>Construction</t>
  </si>
  <si>
    <t>100374</t>
  </si>
  <si>
    <t>CESC Ltd.</t>
  </si>
  <si>
    <t>INE486A01021</t>
  </si>
  <si>
    <t>Power</t>
  </si>
  <si>
    <t>100002</t>
  </si>
  <si>
    <t>Reliance Industries Ltd.</t>
  </si>
  <si>
    <t>INE002A01018</t>
  </si>
  <si>
    <t>Petroleum Products</t>
  </si>
  <si>
    <t>101207</t>
  </si>
  <si>
    <t>Restaurant Brands Asia Ltd.</t>
  </si>
  <si>
    <t>INE07T201019</t>
  </si>
  <si>
    <t>Leisure Services</t>
  </si>
  <si>
    <t>101550</t>
  </si>
  <si>
    <t>Life Insurance Corporation of India</t>
  </si>
  <si>
    <t>INE0J1Y01017</t>
  </si>
  <si>
    <t>100033</t>
  </si>
  <si>
    <t>Indian Bank</t>
  </si>
  <si>
    <t>INE562A01011</t>
  </si>
  <si>
    <t>100259</t>
  </si>
  <si>
    <t>Kalpataru Projects International Ltd.</t>
  </si>
  <si>
    <t>INE220B01022</t>
  </si>
  <si>
    <t>100012</t>
  </si>
  <si>
    <t>ICICI Bank Ltd.</t>
  </si>
  <si>
    <t>INE090A01021</t>
  </si>
  <si>
    <t>100126</t>
  </si>
  <si>
    <t>Britannia Industries Ltd.</t>
  </si>
  <si>
    <t>INE216A01030</t>
  </si>
  <si>
    <t>Food Products</t>
  </si>
  <si>
    <t>100112</t>
  </si>
  <si>
    <t>Punjab National Bank</t>
  </si>
  <si>
    <t>INE160A01022</t>
  </si>
  <si>
    <t>101370</t>
  </si>
  <si>
    <t>Gokaldas Exports Ltd.</t>
  </si>
  <si>
    <t>INE887G01027</t>
  </si>
  <si>
    <t>Textiles &amp; Apparels</t>
  </si>
  <si>
    <t>100227</t>
  </si>
  <si>
    <t>Jubilant Foodworks Ltd.</t>
  </si>
  <si>
    <t>INE797F01020</t>
  </si>
  <si>
    <t>100224</t>
  </si>
  <si>
    <t>Mahindra Lifespace Developers Ltd.</t>
  </si>
  <si>
    <t>INE813A01018</t>
  </si>
  <si>
    <t>Realty</t>
  </si>
  <si>
    <t>100768</t>
  </si>
  <si>
    <t>V-Mart Retail Ltd.</t>
  </si>
  <si>
    <t>INE665J01013</t>
  </si>
  <si>
    <t>100550</t>
  </si>
  <si>
    <t>Sagar Cements Ltd.</t>
  </si>
  <si>
    <t>INE229C01021</t>
  </si>
  <si>
    <t>Cement &amp; Cement Products</t>
  </si>
  <si>
    <t>100037</t>
  </si>
  <si>
    <t>HCL Technologies Ltd.</t>
  </si>
  <si>
    <t>INE860A01027</t>
  </si>
  <si>
    <t>100256</t>
  </si>
  <si>
    <t>City Union Bank Ltd.</t>
  </si>
  <si>
    <t>INE491A01021</t>
  </si>
  <si>
    <t>100743</t>
  </si>
  <si>
    <t>HeidelbergCement India Ltd.</t>
  </si>
  <si>
    <t>INE578A01017</t>
  </si>
  <si>
    <t>100447</t>
  </si>
  <si>
    <t>LTIMindtree Ltd.</t>
  </si>
  <si>
    <t>INE214T01019</t>
  </si>
  <si>
    <t>100147</t>
  </si>
  <si>
    <t>Tech Mahindra Ltd.</t>
  </si>
  <si>
    <t>INE669C01036</t>
  </si>
  <si>
    <t>100223</t>
  </si>
  <si>
    <t>United Spirits Ltd.</t>
  </si>
  <si>
    <t>INE854D01024</t>
  </si>
  <si>
    <t>Beverages</t>
  </si>
  <si>
    <t>100095</t>
  </si>
  <si>
    <t>Bharti Airtel Ltd.</t>
  </si>
  <si>
    <t>INE397D01024</t>
  </si>
  <si>
    <t>Telecom - Services</t>
  </si>
  <si>
    <t>100566</t>
  </si>
  <si>
    <t>Laurus Labs Ltd.</t>
  </si>
  <si>
    <t>INE947Q01028</t>
  </si>
  <si>
    <t>Pharmaceuticals &amp; Biotechnology</t>
  </si>
  <si>
    <t>100723</t>
  </si>
  <si>
    <t>Ashiana Housing Ltd.</t>
  </si>
  <si>
    <t>INE365D01021</t>
  </si>
  <si>
    <t>100814</t>
  </si>
  <si>
    <t>HDFC Asset Management Co. Ltd.</t>
  </si>
  <si>
    <t>INE127D01025</t>
  </si>
  <si>
    <t>101200</t>
  </si>
  <si>
    <t>Gland Pharma Ltd.</t>
  </si>
  <si>
    <t>INE068V01023</t>
  </si>
  <si>
    <t>101469</t>
  </si>
  <si>
    <t>Equitas Small Finance Bank Ltd.</t>
  </si>
  <si>
    <t>INE063P01018</t>
  </si>
  <si>
    <t>100165</t>
  </si>
  <si>
    <t>Rallis India Ltd.</t>
  </si>
  <si>
    <t>INE613A01020</t>
  </si>
  <si>
    <t>Fertilizers &amp; Agrochemicals</t>
  </si>
  <si>
    <t>101801</t>
  </si>
  <si>
    <t>Elin Electronics Ltd.</t>
  </si>
  <si>
    <t>INE050401020</t>
  </si>
  <si>
    <t>100138</t>
  </si>
  <si>
    <t>PVR Inox Ltd.</t>
  </si>
  <si>
    <t>INE191H01014</t>
  </si>
  <si>
    <t>Entertainment</t>
  </si>
  <si>
    <t>100024</t>
  </si>
  <si>
    <t>Axis Bank Ltd.</t>
  </si>
  <si>
    <t>INE238A01034</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</si>
  <si>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</si>
  <si>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</si>
  <si>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</si>
  <si>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</si>
  <si>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</si>
  <si>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</si>
  <si>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</si>
  <si>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</si>
  <si>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</si>
  <si>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</si>
  <si>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</si>
  <si>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</si>
  <si>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</si>
  <si>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</si>
  <si>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</si>
  <si>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</si>
  <si>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</si>
  <si>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</si>
  <si>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</si>
  <si>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</si>
  <si>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</si>
  <si>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</si>
  <si>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</si>
  <si>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</si>
  <si>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704927</t>
  </si>
  <si>
    <t>Tata Power Renewable Energy Ltd. (Guaranteed by Tata Power Ltd.)</t>
  </si>
  <si>
    <t>INE607M08105</t>
  </si>
  <si>
    <t>[ICRA]AA+</t>
  </si>
  <si>
    <t>704936</t>
  </si>
  <si>
    <t>Aditya Birla Renewables Ltd.</t>
  </si>
  <si>
    <t>INE01QP08016</t>
  </si>
  <si>
    <t>CRISIL AA</t>
  </si>
  <si>
    <t>704821</t>
  </si>
  <si>
    <t>Infopark Properties Ltd.</t>
  </si>
  <si>
    <t>INE0KZX07023</t>
  </si>
  <si>
    <t>CARE AA-</t>
  </si>
  <si>
    <t>704942</t>
  </si>
  <si>
    <t>Avanse Financial Services Ltd.</t>
  </si>
  <si>
    <t>INE087P07402</t>
  </si>
  <si>
    <t>704858</t>
  </si>
  <si>
    <t>SBFC Finance Ltd.</t>
  </si>
  <si>
    <t>INE423Y07112</t>
  </si>
  <si>
    <t>IND AA-</t>
  </si>
  <si>
    <t>704729</t>
  </si>
  <si>
    <t>Bharti Telecom Ltd.</t>
  </si>
  <si>
    <t>INE403D08124</t>
  </si>
  <si>
    <t>CRISIL AA+</t>
  </si>
  <si>
    <t>704854</t>
  </si>
  <si>
    <t>Bajaj Housing Finance Ltd.</t>
  </si>
  <si>
    <t>INE377Y07508</t>
  </si>
  <si>
    <t>CRISIL AAA</t>
  </si>
  <si>
    <t>704738</t>
  </si>
  <si>
    <t>Renserv Global Pvt Ltd.</t>
  </si>
  <si>
    <t>INE0AY207053</t>
  </si>
  <si>
    <t>CARE A+(CE)</t>
  </si>
  <si>
    <t>702399</t>
  </si>
  <si>
    <t>Canara Bank( Tier II Bond under Basel III )</t>
  </si>
  <si>
    <t>INE476A08076</t>
  </si>
  <si>
    <t>IND AAA</t>
  </si>
  <si>
    <t>704589</t>
  </si>
  <si>
    <t>Tata Projects Ltd.</t>
  </si>
  <si>
    <t>INE725H08162</t>
  </si>
  <si>
    <t>IND AA</t>
  </si>
  <si>
    <t>704778</t>
  </si>
  <si>
    <t>INE121A07SB3</t>
  </si>
  <si>
    <t>704477</t>
  </si>
  <si>
    <t>Godrej Industries Ltd.</t>
  </si>
  <si>
    <t>INE233A08089</t>
  </si>
  <si>
    <t>704592</t>
  </si>
  <si>
    <t>Muthoot Finance Ltd.</t>
  </si>
  <si>
    <t>INE414G07IR6</t>
  </si>
  <si>
    <t>704671</t>
  </si>
  <si>
    <t>JM Financial Credit Solutions Ltd.</t>
  </si>
  <si>
    <t>INE651J07978</t>
  </si>
  <si>
    <t>[ICRA]AA</t>
  </si>
  <si>
    <t>704484</t>
  </si>
  <si>
    <t>JM Financial Asset Reconstruction Company Ltd.</t>
  </si>
  <si>
    <t>INE265J07555</t>
  </si>
  <si>
    <t>CRISIL AA-</t>
  </si>
  <si>
    <t>704631</t>
  </si>
  <si>
    <t>SMFG India Home Finance Co. Ltd.</t>
  </si>
  <si>
    <t>INE213W07277</t>
  </si>
  <si>
    <t>704639</t>
  </si>
  <si>
    <t>Mahindra Rural Housing Finance Ltd.</t>
  </si>
  <si>
    <t>INE950O07438</t>
  </si>
  <si>
    <t>702275</t>
  </si>
  <si>
    <t>Indian Bank( Tier II Bond under Basel III )</t>
  </si>
  <si>
    <t>INE428A08101</t>
  </si>
  <si>
    <t>IND AA+</t>
  </si>
  <si>
    <t>704546</t>
  </si>
  <si>
    <t>JM Financial Services Ltd.</t>
  </si>
  <si>
    <t>INE012I07066</t>
  </si>
  <si>
    <t>704655</t>
  </si>
  <si>
    <t>Indostar Capital Finance Ltd.</t>
  </si>
  <si>
    <t>INE896L07942</t>
  </si>
  <si>
    <t>704850</t>
  </si>
  <si>
    <t>Sundaram Finance Ltd.</t>
  </si>
  <si>
    <t>INE660A08CI7</t>
  </si>
  <si>
    <t>704693</t>
  </si>
  <si>
    <t>INE950O07446</t>
  </si>
  <si>
    <t>704296</t>
  </si>
  <si>
    <t>INE087P07337</t>
  </si>
  <si>
    <t>703394</t>
  </si>
  <si>
    <t>L&amp;T Metro Rail (Hyderabad) Ltd. [Guaranteed by Larsen &amp; Toubro Ltd.]</t>
  </si>
  <si>
    <t>INE128M08060</t>
  </si>
  <si>
    <t>CRISIL AAA(CE)</t>
  </si>
  <si>
    <t>704443</t>
  </si>
  <si>
    <t>INE012I07041</t>
  </si>
  <si>
    <t>704291</t>
  </si>
  <si>
    <t>Aadhar Housing Finance Ltd.</t>
  </si>
  <si>
    <t>INE883F07306</t>
  </si>
  <si>
    <t>703923</t>
  </si>
  <si>
    <t>INE403D08132</t>
  </si>
  <si>
    <t>704114</t>
  </si>
  <si>
    <t>INE414G07HK3</t>
  </si>
  <si>
    <t>b) Privately Placed/Unlisted</t>
  </si>
  <si>
    <t>c) Securitised Debt Instruments</t>
  </si>
  <si>
    <t>d) Central Government Securities</t>
  </si>
  <si>
    <t>900294</t>
  </si>
  <si>
    <t>7.30% CGL 2053</t>
  </si>
  <si>
    <t>IN0020230051</t>
  </si>
  <si>
    <t>Sovereign</t>
  </si>
  <si>
    <t>900299</t>
  </si>
  <si>
    <t>7.18% CGL 2033</t>
  </si>
  <si>
    <t>IN0020230085</t>
  </si>
  <si>
    <t>1905304</t>
  </si>
  <si>
    <t>7.10% CGL 2034</t>
  </si>
  <si>
    <t>IN0020240019</t>
  </si>
  <si>
    <t>900290</t>
  </si>
  <si>
    <t>7.06% CGL 2028</t>
  </si>
  <si>
    <t>IN0020230010</t>
  </si>
  <si>
    <t>e) State Government Securities</t>
  </si>
  <si>
    <t>MONEY MARKET INSTRUMENTS</t>
  </si>
  <si>
    <t>a) Commercial Paper</t>
  </si>
  <si>
    <t>b) Certificate of Deposits</t>
  </si>
  <si>
    <t>c) Treasury Bills</t>
  </si>
  <si>
    <t>d) Bills Re- Discounting</t>
  </si>
  <si>
    <t>e) STRIPS</t>
  </si>
  <si>
    <t>OTHERS</t>
  </si>
  <si>
    <t>a) Mutual Fund Units / Exchange Traded Funds</t>
  </si>
  <si>
    <t>417210</t>
  </si>
  <si>
    <t>SBI Gold ETF</t>
  </si>
  <si>
    <t>INF200KA16D8</t>
  </si>
  <si>
    <t>2800001</t>
  </si>
  <si>
    <t>Nippon India Silver ETF</t>
  </si>
  <si>
    <t>INF204KC1402</t>
  </si>
  <si>
    <t>2800002</t>
  </si>
  <si>
    <t>SBI Silver ETF</t>
  </si>
  <si>
    <t>INF200KB1217</t>
  </si>
  <si>
    <t>b) Alternative Investment Funds</t>
  </si>
  <si>
    <t>c) Gold</t>
  </si>
  <si>
    <t>d) Short Term Deposits</t>
  </si>
  <si>
    <t>e) Term Deposits Placed as Margins</t>
  </si>
  <si>
    <t>f) TREPS / Reverse Repo Investments</t>
  </si>
  <si>
    <t>411240100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</si>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</sst>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3" fillId="0" borderId="0" xfId="0" applyFont="1" applyAlignment="1">
      <alignment horizontal="left" vertical="top" wrapText="1"/>
    </xf>
    <xf numFmtId="0" fontId="11" fillId="0" borderId="0" xfId="5" applyFont="1" applyFill="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230388D6-140E-4574-9B49-4F5D0FAF0C43}"/>
    <cellStyle name="Normal" xfId="0" builtinId="0"/>
    <cellStyle name="Normal 2" xfId="4" xr:uid="{E7E51E54-C26E-4E40-84FE-8B40ED75A12A}"/>
    <cellStyle name="Style 1" xfId="3" xr:uid="{369B9C4F-EBF6-4067-86AC-0F5392135F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2733675</xdr:colOff>
      <xdr:row>177</xdr:row>
      <xdr:rowOff>120957</xdr:rowOff>
    </xdr:to>
    <xdr:pic>
      <xdr:nvPicPr>
        <xdr:cNvPr id="2" name="Picture 1">
          <a:extLst>
            <a:ext uri="{FF2B5EF4-FFF2-40B4-BE49-F238E27FC236}">
              <a16:creationId xmlns:a16="http://schemas.microsoft.com/office/drawing/2014/main" id="{8238085D-A8E7-458D-B129-B0DD94E52D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061150"/>
          <a:ext cx="2733675" cy="1410007"/>
        </a:xfrm>
        <a:prstGeom prst="rect">
          <a:avLst/>
        </a:prstGeom>
      </xdr:spPr>
    </xdr:pic>
    <xdr:clientData/>
  </xdr:twoCellAnchor>
  <xdr:twoCellAnchor editAs="oneCell">
    <xdr:from>
      <xdr:col>4</xdr:col>
      <xdr:colOff>0</xdr:colOff>
      <xdr:row>170</xdr:row>
      <xdr:rowOff>0</xdr:rowOff>
    </xdr:from>
    <xdr:to>
      <xdr:col>5</xdr:col>
      <xdr:colOff>1147233</xdr:colOff>
      <xdr:row>177</xdr:row>
      <xdr:rowOff>133350</xdr:rowOff>
    </xdr:to>
    <xdr:pic>
      <xdr:nvPicPr>
        <xdr:cNvPr id="3" name="Picture 2">
          <a:extLst>
            <a:ext uri="{FF2B5EF4-FFF2-40B4-BE49-F238E27FC236}">
              <a16:creationId xmlns:a16="http://schemas.microsoft.com/office/drawing/2014/main" id="{0D21E819-4889-4237-A155-7D9CB3046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7050" y="32061150"/>
          <a:ext cx="2804583" cy="1422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081124\October%202024\All%20Schemes%20Monthly%20Portfolio%20-%20as%20on%2031st%20October%202024.xlsx" TargetMode="External"/><Relationship Id="rId1" Type="http://schemas.openxmlformats.org/officeDocument/2006/relationships/externalLinkPath" Target="All%20Schemes%20Monthly%20Portfolio%20-%20as%20on%2031st%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EOF"/>
      <sheetName val="SBI-AOF"/>
      <sheetName val="SBI Silver ETF"/>
      <sheetName val="SBI Silver ETF Fund of Fund"/>
      <sheetName val="SBI Nifty50 Equal Weight ETF"/>
      <sheetName val="SIOF"/>
      <sheetName val="SBI Nifty 500 Index Fund"/>
      <sheetName val="SBINICIF"/>
    </sheetNames>
    <sheetDataSet>
      <sheetData sheetId="0"/>
      <sheetData sheetId="1"/>
      <sheetData sheetId="2"/>
      <sheetData sheetId="3"/>
      <sheetData sheetId="4"/>
      <sheetData sheetId="5">
        <row r="10">
          <cell r="G10">
            <v>426442.5</v>
          </cell>
          <cell r="H10">
            <v>5.96</v>
          </cell>
        </row>
        <row r="11">
          <cell r="G11">
            <v>403150</v>
          </cell>
          <cell r="H11">
            <v>5.63</v>
          </cell>
        </row>
        <row r="12">
          <cell r="G12">
            <v>295069</v>
          </cell>
          <cell r="H12">
            <v>4.12</v>
          </cell>
        </row>
        <row r="13">
          <cell r="G13">
            <v>294544.76</v>
          </cell>
          <cell r="H13">
            <v>4.1100000000000003</v>
          </cell>
        </row>
        <row r="14">
          <cell r="G14">
            <v>294482.5</v>
          </cell>
          <cell r="H14">
            <v>4.1100000000000003</v>
          </cell>
        </row>
        <row r="15">
          <cell r="G15">
            <v>270666</v>
          </cell>
          <cell r="H15">
            <v>3.78</v>
          </cell>
        </row>
        <row r="16">
          <cell r="G16">
            <v>268427.94</v>
          </cell>
          <cell r="H16">
            <v>3.75</v>
          </cell>
        </row>
        <row r="17">
          <cell r="G17">
            <v>263587.5</v>
          </cell>
          <cell r="H17">
            <v>3.68</v>
          </cell>
        </row>
        <row r="18">
          <cell r="G18">
            <v>239097.5</v>
          </cell>
          <cell r="H18">
            <v>3.34</v>
          </cell>
        </row>
        <row r="19">
          <cell r="G19">
            <v>213582.25</v>
          </cell>
          <cell r="H19">
            <v>2.98</v>
          </cell>
        </row>
        <row r="20">
          <cell r="G20">
            <v>208291.57</v>
          </cell>
          <cell r="H20">
            <v>2.91</v>
          </cell>
        </row>
        <row r="21">
          <cell r="G21">
            <v>198069.99</v>
          </cell>
          <cell r="H21">
            <v>2.77</v>
          </cell>
        </row>
        <row r="22">
          <cell r="G22">
            <v>193045</v>
          </cell>
          <cell r="H22">
            <v>2.7</v>
          </cell>
        </row>
        <row r="23">
          <cell r="G23">
            <v>181115</v>
          </cell>
          <cell r="H23">
            <v>2.5299999999999998</v>
          </cell>
        </row>
        <row r="24">
          <cell r="G24">
            <v>171512.5</v>
          </cell>
          <cell r="H24">
            <v>2.4</v>
          </cell>
        </row>
        <row r="25">
          <cell r="G25">
            <v>130958.85</v>
          </cell>
          <cell r="H25">
            <v>1.83</v>
          </cell>
        </row>
        <row r="26">
          <cell r="G26">
            <v>122755.21</v>
          </cell>
          <cell r="H26">
            <v>1.71</v>
          </cell>
        </row>
        <row r="27">
          <cell r="G27">
            <v>121177</v>
          </cell>
          <cell r="H27">
            <v>1.69</v>
          </cell>
        </row>
        <row r="28">
          <cell r="G28">
            <v>109755.78</v>
          </cell>
          <cell r="H28">
            <v>1.53</v>
          </cell>
        </row>
        <row r="29">
          <cell r="G29">
            <v>84363.4</v>
          </cell>
          <cell r="H29">
            <v>1.18</v>
          </cell>
        </row>
        <row r="30">
          <cell r="G30">
            <v>80390.399999999994</v>
          </cell>
          <cell r="H30">
            <v>1.1200000000000001</v>
          </cell>
        </row>
        <row r="31">
          <cell r="G31">
            <v>70082.5</v>
          </cell>
          <cell r="H31">
            <v>0.98</v>
          </cell>
        </row>
        <row r="32">
          <cell r="G32">
            <v>69202.91</v>
          </cell>
          <cell r="H32">
            <v>0.97</v>
          </cell>
        </row>
        <row r="33">
          <cell r="G33">
            <v>60537</v>
          </cell>
          <cell r="H33">
            <v>0.85</v>
          </cell>
        </row>
        <row r="34">
          <cell r="G34">
            <v>58535.4</v>
          </cell>
          <cell r="H34">
            <v>0.82</v>
          </cell>
        </row>
        <row r="35">
          <cell r="G35">
            <v>57893.5</v>
          </cell>
          <cell r="H35">
            <v>0.81</v>
          </cell>
        </row>
        <row r="36">
          <cell r="G36">
            <v>57332.37</v>
          </cell>
          <cell r="H36">
            <v>0.8</v>
          </cell>
        </row>
        <row r="37">
          <cell r="G37">
            <v>54995.43</v>
          </cell>
          <cell r="H37">
            <v>0.77</v>
          </cell>
        </row>
        <row r="38">
          <cell r="G38">
            <v>45976.56</v>
          </cell>
          <cell r="H38">
            <v>0.64</v>
          </cell>
        </row>
        <row r="39">
          <cell r="G39">
            <v>19559.849999999999</v>
          </cell>
          <cell r="H39">
            <v>0.27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0">
          <cell r="G10">
            <v>205122</v>
          </cell>
          <cell r="H10">
            <v>5.87</v>
          </cell>
        </row>
        <row r="11">
          <cell r="G11">
            <v>188646</v>
          </cell>
          <cell r="H11">
            <v>5.4</v>
          </cell>
        </row>
        <row r="12">
          <cell r="G12">
            <v>173740.5</v>
          </cell>
          <cell r="H12">
            <v>4.97</v>
          </cell>
        </row>
        <row r="13">
          <cell r="G13">
            <v>159020.54999999999</v>
          </cell>
          <cell r="H13">
            <v>4.55</v>
          </cell>
        </row>
        <row r="14">
          <cell r="G14">
            <v>156213</v>
          </cell>
          <cell r="H14">
            <v>4.47</v>
          </cell>
        </row>
        <row r="15">
          <cell r="G15">
            <v>153777.75</v>
          </cell>
          <cell r="H15">
            <v>4.4000000000000004</v>
          </cell>
        </row>
        <row r="16">
          <cell r="G16">
            <v>153234.23000000001</v>
          </cell>
          <cell r="H16">
            <v>4.3899999999999997</v>
          </cell>
        </row>
        <row r="17">
          <cell r="G17">
            <v>144684.75</v>
          </cell>
          <cell r="H17">
            <v>4.1399999999999997</v>
          </cell>
        </row>
        <row r="18">
          <cell r="G18">
            <v>143220</v>
          </cell>
          <cell r="H18">
            <v>4.0999999999999996</v>
          </cell>
        </row>
        <row r="19">
          <cell r="G19">
            <v>136756.9</v>
          </cell>
          <cell r="H19">
            <v>3.91</v>
          </cell>
        </row>
        <row r="20">
          <cell r="G20">
            <v>130752</v>
          </cell>
          <cell r="H20">
            <v>3.74</v>
          </cell>
        </row>
        <row r="21">
          <cell r="G21">
            <v>112576.95</v>
          </cell>
          <cell r="H21">
            <v>3.22</v>
          </cell>
        </row>
        <row r="22">
          <cell r="G22">
            <v>109665.58</v>
          </cell>
          <cell r="H22">
            <v>3.14</v>
          </cell>
        </row>
        <row r="23">
          <cell r="G23">
            <v>105948.15</v>
          </cell>
          <cell r="H23">
            <v>3.03</v>
          </cell>
        </row>
        <row r="24">
          <cell r="G24">
            <v>103434.45</v>
          </cell>
          <cell r="H24">
            <v>2.96</v>
          </cell>
        </row>
        <row r="25">
          <cell r="G25">
            <v>100591.75</v>
          </cell>
          <cell r="H25">
            <v>2.88</v>
          </cell>
        </row>
        <row r="26">
          <cell r="G26">
            <v>97915.5</v>
          </cell>
          <cell r="H26">
            <v>2.8</v>
          </cell>
        </row>
        <row r="27">
          <cell r="G27">
            <v>95867.5</v>
          </cell>
          <cell r="H27">
            <v>2.74</v>
          </cell>
        </row>
        <row r="28">
          <cell r="G28">
            <v>82011.22</v>
          </cell>
          <cell r="H28">
            <v>2.35</v>
          </cell>
        </row>
        <row r="29">
          <cell r="G29">
            <v>77190</v>
          </cell>
          <cell r="H29">
            <v>2.21</v>
          </cell>
        </row>
        <row r="30">
          <cell r="G30">
            <v>69069</v>
          </cell>
          <cell r="H30">
            <v>1.98</v>
          </cell>
        </row>
        <row r="31">
          <cell r="G31">
            <v>58413.08</v>
          </cell>
          <cell r="H31">
            <v>1.67</v>
          </cell>
        </row>
        <row r="32">
          <cell r="G32">
            <v>31658.74</v>
          </cell>
          <cell r="H32">
            <v>0.91</v>
          </cell>
        </row>
        <row r="33">
          <cell r="G33">
            <v>28571.05</v>
          </cell>
          <cell r="H33">
            <v>0.82</v>
          </cell>
        </row>
        <row r="34">
          <cell r="G34">
            <v>14545.35</v>
          </cell>
          <cell r="H34">
            <v>0.42</v>
          </cell>
        </row>
        <row r="35">
          <cell r="G35">
            <v>2678.08</v>
          </cell>
          <cell r="H35">
            <v>0.08</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ow r="10">
          <cell r="G10">
            <v>180406.52</v>
          </cell>
          <cell r="H10">
            <v>5.52</v>
          </cell>
        </row>
        <row r="11">
          <cell r="G11">
            <v>112219.11</v>
          </cell>
          <cell r="H11">
            <v>3.44</v>
          </cell>
        </row>
        <row r="12">
          <cell r="G12">
            <v>107485.03</v>
          </cell>
          <cell r="H12">
            <v>3.29</v>
          </cell>
        </row>
        <row r="13">
          <cell r="G13">
            <v>104614.26</v>
          </cell>
          <cell r="H13">
            <v>3.2</v>
          </cell>
        </row>
        <row r="14">
          <cell r="G14">
            <v>74513.64</v>
          </cell>
          <cell r="H14">
            <v>2.2799999999999998</v>
          </cell>
        </row>
        <row r="15">
          <cell r="G15">
            <v>72759.33</v>
          </cell>
          <cell r="H15">
            <v>2.23</v>
          </cell>
        </row>
        <row r="16">
          <cell r="G16">
            <v>68886.87</v>
          </cell>
          <cell r="H16">
            <v>2.11</v>
          </cell>
        </row>
        <row r="17">
          <cell r="G17">
            <v>67625.83</v>
          </cell>
          <cell r="H17">
            <v>2.0699999999999998</v>
          </cell>
        </row>
        <row r="18">
          <cell r="G18">
            <v>64561.83</v>
          </cell>
          <cell r="H18">
            <v>1.98</v>
          </cell>
        </row>
        <row r="19">
          <cell r="G19">
            <v>64324.6</v>
          </cell>
          <cell r="H19">
            <v>1.97</v>
          </cell>
        </row>
        <row r="20">
          <cell r="G20">
            <v>63032.99</v>
          </cell>
          <cell r="H20">
            <v>1.93</v>
          </cell>
        </row>
        <row r="21">
          <cell r="G21">
            <v>62810.29</v>
          </cell>
          <cell r="H21">
            <v>1.92</v>
          </cell>
        </row>
        <row r="22">
          <cell r="G22">
            <v>58391.02</v>
          </cell>
          <cell r="H22">
            <v>1.79</v>
          </cell>
        </row>
        <row r="23">
          <cell r="G23">
            <v>48387.96</v>
          </cell>
          <cell r="H23">
            <v>1.48</v>
          </cell>
        </row>
        <row r="24">
          <cell r="G24">
            <v>47731.199999999997</v>
          </cell>
          <cell r="H24">
            <v>1.46</v>
          </cell>
        </row>
        <row r="25">
          <cell r="G25">
            <v>47667.57</v>
          </cell>
          <cell r="H25">
            <v>1.46</v>
          </cell>
        </row>
        <row r="26">
          <cell r="G26">
            <v>38541.629999999997</v>
          </cell>
          <cell r="H26">
            <v>1.18</v>
          </cell>
        </row>
        <row r="27">
          <cell r="G27">
            <v>37987.65</v>
          </cell>
          <cell r="H27">
            <v>1.1599999999999999</v>
          </cell>
        </row>
        <row r="28">
          <cell r="G28">
            <v>34988.61</v>
          </cell>
          <cell r="H28">
            <v>1.07</v>
          </cell>
        </row>
        <row r="29">
          <cell r="G29">
            <v>33389.910000000003</v>
          </cell>
          <cell r="H29">
            <v>1.02</v>
          </cell>
        </row>
        <row r="30">
          <cell r="G30">
            <v>32556.93</v>
          </cell>
          <cell r="H30">
            <v>1</v>
          </cell>
        </row>
        <row r="31">
          <cell r="G31">
            <v>32454.06</v>
          </cell>
          <cell r="H31">
            <v>0.99</v>
          </cell>
        </row>
        <row r="32">
          <cell r="G32">
            <v>31931.3</v>
          </cell>
          <cell r="H32">
            <v>0.98</v>
          </cell>
        </row>
        <row r="33">
          <cell r="G33">
            <v>31677.03</v>
          </cell>
          <cell r="H33">
            <v>0.97</v>
          </cell>
        </row>
        <row r="34">
          <cell r="G34">
            <v>31346.27</v>
          </cell>
          <cell r="H34">
            <v>0.96</v>
          </cell>
        </row>
        <row r="35">
          <cell r="G35">
            <v>30211.66</v>
          </cell>
          <cell r="H35">
            <v>0.93</v>
          </cell>
        </row>
        <row r="36">
          <cell r="G36">
            <v>28677.02</v>
          </cell>
          <cell r="H36">
            <v>0.88</v>
          </cell>
        </row>
        <row r="37">
          <cell r="G37">
            <v>27936.83</v>
          </cell>
          <cell r="H37">
            <v>0.86</v>
          </cell>
        </row>
        <row r="38">
          <cell r="G38">
            <v>26614.89</v>
          </cell>
          <cell r="H38">
            <v>0.81</v>
          </cell>
        </row>
        <row r="39">
          <cell r="G39">
            <v>26605.16</v>
          </cell>
          <cell r="H39">
            <v>0.81</v>
          </cell>
        </row>
        <row r="40">
          <cell r="G40">
            <v>24620.1</v>
          </cell>
          <cell r="H40">
            <v>0.75</v>
          </cell>
        </row>
        <row r="41">
          <cell r="G41">
            <v>24348.55</v>
          </cell>
          <cell r="H41">
            <v>0.75</v>
          </cell>
        </row>
        <row r="42">
          <cell r="G42">
            <v>24017.14</v>
          </cell>
          <cell r="H42">
            <v>0.74</v>
          </cell>
        </row>
        <row r="43">
          <cell r="G43">
            <v>23851.81</v>
          </cell>
          <cell r="H43">
            <v>0.73</v>
          </cell>
        </row>
        <row r="44">
          <cell r="G44">
            <v>23777.95</v>
          </cell>
          <cell r="H44">
            <v>0.73</v>
          </cell>
        </row>
        <row r="45">
          <cell r="G45">
            <v>22795.91</v>
          </cell>
          <cell r="H45">
            <v>0.7</v>
          </cell>
        </row>
        <row r="46">
          <cell r="G46">
            <v>22320.12</v>
          </cell>
          <cell r="H46">
            <v>0.68</v>
          </cell>
        </row>
        <row r="47">
          <cell r="G47">
            <v>21773.360000000001</v>
          </cell>
          <cell r="H47">
            <v>0.67</v>
          </cell>
        </row>
        <row r="48">
          <cell r="G48">
            <v>20264.37</v>
          </cell>
          <cell r="H48">
            <v>0.62</v>
          </cell>
        </row>
        <row r="49">
          <cell r="G49">
            <v>18475.02</v>
          </cell>
          <cell r="H49">
            <v>0.56999999999999995</v>
          </cell>
        </row>
        <row r="50">
          <cell r="G50">
            <v>16144.83</v>
          </cell>
          <cell r="H50">
            <v>0.49</v>
          </cell>
        </row>
        <row r="51">
          <cell r="G51">
            <v>15623.72</v>
          </cell>
          <cell r="H51">
            <v>0.48</v>
          </cell>
        </row>
        <row r="52">
          <cell r="G52">
            <v>14369.35</v>
          </cell>
          <cell r="H52">
            <v>0.44</v>
          </cell>
        </row>
        <row r="53">
          <cell r="G53">
            <v>14244</v>
          </cell>
          <cell r="H53">
            <v>0.44</v>
          </cell>
        </row>
        <row r="54">
          <cell r="G54">
            <v>10525.25</v>
          </cell>
          <cell r="H54">
            <v>0.32</v>
          </cell>
        </row>
        <row r="55">
          <cell r="G55">
            <v>10158.31</v>
          </cell>
          <cell r="H55">
            <v>0.31</v>
          </cell>
        </row>
        <row r="56">
          <cell r="G56">
            <v>9206.06</v>
          </cell>
          <cell r="H56">
            <v>0.28000000000000003</v>
          </cell>
        </row>
        <row r="57">
          <cell r="G57">
            <v>7791.84</v>
          </cell>
          <cell r="H57">
            <v>0.24</v>
          </cell>
        </row>
        <row r="58">
          <cell r="G58">
            <v>7635.43</v>
          </cell>
          <cell r="H58">
            <v>0.23</v>
          </cell>
        </row>
        <row r="59">
          <cell r="G59">
            <v>7541.3</v>
          </cell>
          <cell r="H59">
            <v>0.23</v>
          </cell>
        </row>
        <row r="60">
          <cell r="G60">
            <v>7538.55</v>
          </cell>
          <cell r="H60">
            <v>0.23</v>
          </cell>
        </row>
        <row r="61">
          <cell r="G61">
            <v>7206.03</v>
          </cell>
          <cell r="H61">
            <v>0.22</v>
          </cell>
        </row>
        <row r="62">
          <cell r="G62">
            <v>7147.6</v>
          </cell>
          <cell r="H62">
            <v>0.22</v>
          </cell>
        </row>
        <row r="63">
          <cell r="G63">
            <v>6924.99</v>
          </cell>
          <cell r="H63">
            <v>0.21</v>
          </cell>
        </row>
        <row r="64">
          <cell r="G64">
            <v>6369.11</v>
          </cell>
          <cell r="H64">
            <v>0.2</v>
          </cell>
        </row>
        <row r="65">
          <cell r="G65">
            <v>6317.13</v>
          </cell>
          <cell r="H65">
            <v>0.19</v>
          </cell>
        </row>
        <row r="66">
          <cell r="G66">
            <v>6250.96</v>
          </cell>
          <cell r="H66">
            <v>0.19</v>
          </cell>
        </row>
        <row r="67">
          <cell r="G67">
            <v>6183.03</v>
          </cell>
          <cell r="H67">
            <v>0.19</v>
          </cell>
        </row>
        <row r="68">
          <cell r="G68">
            <v>6041.84</v>
          </cell>
          <cell r="H68">
            <v>0.18</v>
          </cell>
        </row>
        <row r="69">
          <cell r="G69">
            <v>5958.26</v>
          </cell>
          <cell r="H69">
            <v>0.18</v>
          </cell>
        </row>
        <row r="70">
          <cell r="G70">
            <v>5314.42</v>
          </cell>
          <cell r="H70">
            <v>0.16</v>
          </cell>
        </row>
        <row r="71">
          <cell r="G71">
            <v>5066.18</v>
          </cell>
          <cell r="H71">
            <v>0.16</v>
          </cell>
        </row>
        <row r="72">
          <cell r="G72">
            <v>3884.49</v>
          </cell>
          <cell r="H72">
            <v>0.12</v>
          </cell>
        </row>
        <row r="73">
          <cell r="G73">
            <v>2853.4</v>
          </cell>
          <cell r="H73">
            <v>0.09</v>
          </cell>
        </row>
        <row r="74">
          <cell r="G74">
            <v>2650.37</v>
          </cell>
          <cell r="H74">
            <v>0.08</v>
          </cell>
        </row>
        <row r="75">
          <cell r="G75">
            <v>2264.8200000000002</v>
          </cell>
          <cell r="H75">
            <v>7.0000000000000007E-2</v>
          </cell>
        </row>
        <row r="76">
          <cell r="G76">
            <v>2038.5</v>
          </cell>
          <cell r="H76">
            <v>0.06</v>
          </cell>
        </row>
        <row r="77">
          <cell r="G77">
            <v>1392.81</v>
          </cell>
          <cell r="H77">
            <v>0.04</v>
          </cell>
        </row>
        <row r="78">
          <cell r="G78">
            <v>1281.56</v>
          </cell>
          <cell r="H78">
            <v>0.04</v>
          </cell>
        </row>
        <row r="79">
          <cell r="G79">
            <v>1182.95</v>
          </cell>
          <cell r="H79">
            <v>0.04</v>
          </cell>
        </row>
        <row r="80">
          <cell r="G80">
            <v>1114.25</v>
          </cell>
          <cell r="H80">
            <v>0.03</v>
          </cell>
        </row>
        <row r="81">
          <cell r="G81">
            <v>823.85</v>
          </cell>
          <cell r="H81">
            <v>0.03</v>
          </cell>
        </row>
        <row r="82">
          <cell r="G82">
            <v>808.31</v>
          </cell>
          <cell r="H82">
            <v>0.02</v>
          </cell>
        </row>
        <row r="83">
          <cell r="G83">
            <v>734.06</v>
          </cell>
          <cell r="H83">
            <v>0.02</v>
          </cell>
        </row>
        <row r="84">
          <cell r="G84">
            <v>573.29999999999995</v>
          </cell>
          <cell r="H84">
            <v>0.02</v>
          </cell>
        </row>
        <row r="85">
          <cell r="G85">
            <v>559.94000000000005</v>
          </cell>
          <cell r="H85">
            <v>0.02</v>
          </cell>
        </row>
        <row r="86">
          <cell r="G86">
            <v>491.59</v>
          </cell>
          <cell r="H86">
            <v>0.02</v>
          </cell>
        </row>
        <row r="87">
          <cell r="G87">
            <v>480.3</v>
          </cell>
          <cell r="H87">
            <v>0.01</v>
          </cell>
        </row>
        <row r="88">
          <cell r="G88">
            <v>460.85</v>
          </cell>
          <cell r="H88">
            <v>0.01</v>
          </cell>
        </row>
        <row r="89">
          <cell r="G89">
            <v>397.52</v>
          </cell>
          <cell r="H89">
            <v>0.01</v>
          </cell>
        </row>
        <row r="90">
          <cell r="G90">
            <v>393.55</v>
          </cell>
          <cell r="H90">
            <v>0.01</v>
          </cell>
        </row>
        <row r="91">
          <cell r="G91">
            <v>389.38</v>
          </cell>
          <cell r="H91">
            <v>0.01</v>
          </cell>
        </row>
        <row r="92">
          <cell r="G92">
            <v>278.74</v>
          </cell>
          <cell r="H92">
            <v>0.01</v>
          </cell>
        </row>
        <row r="93">
          <cell r="G93">
            <v>228.11</v>
          </cell>
          <cell r="H93">
            <v>0.01</v>
          </cell>
        </row>
        <row r="94">
          <cell r="G94">
            <v>164.4</v>
          </cell>
          <cell r="H94">
            <v>0.01</v>
          </cell>
        </row>
        <row r="95">
          <cell r="G95">
            <v>132.32</v>
          </cell>
          <cell r="H95" t="str">
            <v>#</v>
          </cell>
        </row>
        <row r="96">
          <cell r="G96">
            <v>40.6</v>
          </cell>
          <cell r="H96" t="str">
            <v>#</v>
          </cell>
        </row>
        <row r="97">
          <cell r="G97">
            <v>3.19</v>
          </cell>
          <cell r="H97" t="str">
            <v>#</v>
          </cell>
        </row>
      </sheetData>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641A-6340-49B3-BB4D-3BDCA3A4023A}">
  <sheetPr codeName="Sheet135"/>
  <dimension ref="A1:IV170"/>
  <sheetViews>
    <sheetView showGridLines="0" tabSelected="1" zoomScale="90" zoomScaleNormal="90" workbookViewId="0">
      <pane ySplit="6" topLeftCell="A165" activePane="bottomLeft" state="frozen"/>
      <selection activeCell="D9" sqref="D9"/>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45596</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B10" s="1" t="s">
        <v>17</v>
      </c>
      <c r="C10" s="21" t="s">
        <v>18</v>
      </c>
      <c r="D10" s="31" t="s">
        <v>19</v>
      </c>
      <c r="E10" s="32" t="s">
        <v>20</v>
      </c>
      <c r="F10" s="33">
        <v>721000</v>
      </c>
      <c r="G10" s="34">
        <v>12514.4</v>
      </c>
      <c r="H10" s="34">
        <v>1.9</v>
      </c>
      <c r="I10" s="35"/>
      <c r="J10" s="35"/>
      <c r="K10" s="36"/>
    </row>
    <row r="11" spans="1:54" x14ac:dyDescent="0.35">
      <c r="B11" s="1" t="s">
        <v>21</v>
      </c>
      <c r="C11" s="21" t="s">
        <v>22</v>
      </c>
      <c r="D11" s="31" t="s">
        <v>23</v>
      </c>
      <c r="E11" s="32" t="s">
        <v>24</v>
      </c>
      <c r="F11" s="33">
        <v>1870000</v>
      </c>
      <c r="G11" s="34">
        <v>10445.82</v>
      </c>
      <c r="H11" s="34">
        <v>1.58</v>
      </c>
      <c r="I11" s="35"/>
      <c r="J11" s="35"/>
      <c r="K11" s="36"/>
    </row>
    <row r="12" spans="1:54" x14ac:dyDescent="0.35">
      <c r="B12" s="1" t="s">
        <v>25</v>
      </c>
      <c r="C12" s="21" t="s">
        <v>26</v>
      </c>
      <c r="D12" s="31" t="s">
        <v>27</v>
      </c>
      <c r="E12" s="32" t="s">
        <v>28</v>
      </c>
      <c r="F12" s="33">
        <v>63550</v>
      </c>
      <c r="G12" s="34">
        <v>9132.2900000000009</v>
      </c>
      <c r="H12" s="34">
        <v>1.39</v>
      </c>
      <c r="I12" s="35"/>
      <c r="J12" s="35"/>
      <c r="K12" s="36"/>
    </row>
    <row r="13" spans="1:54" x14ac:dyDescent="0.35">
      <c r="B13" s="1" t="s">
        <v>29</v>
      </c>
      <c r="C13" s="21" t="s">
        <v>30</v>
      </c>
      <c r="D13" s="31" t="s">
        <v>31</v>
      </c>
      <c r="E13" s="32" t="s">
        <v>32</v>
      </c>
      <c r="F13" s="33">
        <v>4350297</v>
      </c>
      <c r="G13" s="34">
        <v>8700.16</v>
      </c>
      <c r="H13" s="34">
        <v>1.32</v>
      </c>
      <c r="I13" s="35"/>
      <c r="J13" s="35"/>
      <c r="K13" s="36"/>
    </row>
    <row r="14" spans="1:54" x14ac:dyDescent="0.35">
      <c r="B14" s="1" t="s">
        <v>33</v>
      </c>
      <c r="C14" s="21" t="s">
        <v>34</v>
      </c>
      <c r="D14" s="31" t="s">
        <v>35</v>
      </c>
      <c r="E14" s="32" t="s">
        <v>36</v>
      </c>
      <c r="F14" s="33">
        <v>1500000</v>
      </c>
      <c r="G14" s="34">
        <v>8277</v>
      </c>
      <c r="H14" s="34">
        <v>1.26</v>
      </c>
      <c r="I14" s="35"/>
      <c r="J14" s="35"/>
      <c r="K14" s="36"/>
    </row>
    <row r="15" spans="1:54" x14ac:dyDescent="0.35">
      <c r="B15" s="1" t="s">
        <v>37</v>
      </c>
      <c r="C15" s="21" t="s">
        <v>38</v>
      </c>
      <c r="D15" s="31" t="s">
        <v>39</v>
      </c>
      <c r="E15" s="32" t="s">
        <v>20</v>
      </c>
      <c r="F15" s="33">
        <v>950000</v>
      </c>
      <c r="G15" s="34">
        <v>7791.9</v>
      </c>
      <c r="H15" s="34">
        <v>1.18</v>
      </c>
      <c r="I15" s="35"/>
      <c r="J15" s="35"/>
      <c r="K15" s="36"/>
    </row>
    <row r="16" spans="1:54" x14ac:dyDescent="0.35">
      <c r="B16" s="1" t="s">
        <v>40</v>
      </c>
      <c r="C16" s="21" t="s">
        <v>41</v>
      </c>
      <c r="D16" s="31" t="s">
        <v>42</v>
      </c>
      <c r="E16" s="32" t="s">
        <v>43</v>
      </c>
      <c r="F16" s="33">
        <v>381643</v>
      </c>
      <c r="G16" s="34">
        <v>7592.02</v>
      </c>
      <c r="H16" s="34">
        <v>1.1499999999999999</v>
      </c>
      <c r="I16" s="35"/>
      <c r="J16" s="35"/>
      <c r="K16" s="36"/>
    </row>
    <row r="17" spans="2:11" x14ac:dyDescent="0.35">
      <c r="B17" s="1" t="s">
        <v>44</v>
      </c>
      <c r="C17" s="21" t="s">
        <v>45</v>
      </c>
      <c r="D17" s="31" t="s">
        <v>46</v>
      </c>
      <c r="E17" s="32" t="s">
        <v>47</v>
      </c>
      <c r="F17" s="33">
        <v>1012032</v>
      </c>
      <c r="G17" s="34">
        <v>7499.16</v>
      </c>
      <c r="H17" s="34">
        <v>1.1399999999999999</v>
      </c>
      <c r="I17" s="35"/>
      <c r="J17" s="35"/>
      <c r="K17" s="36"/>
    </row>
    <row r="18" spans="2:11" x14ac:dyDescent="0.35">
      <c r="B18" s="1" t="s">
        <v>48</v>
      </c>
      <c r="C18" s="21" t="s">
        <v>49</v>
      </c>
      <c r="D18" s="31" t="s">
        <v>50</v>
      </c>
      <c r="E18" s="32" t="s">
        <v>51</v>
      </c>
      <c r="F18" s="33">
        <v>711574</v>
      </c>
      <c r="G18" s="34">
        <v>7160.57</v>
      </c>
      <c r="H18" s="34">
        <v>1.0900000000000001</v>
      </c>
      <c r="I18" s="35"/>
      <c r="J18" s="35"/>
      <c r="K18" s="36"/>
    </row>
    <row r="19" spans="2:11" x14ac:dyDescent="0.35">
      <c r="B19" s="1" t="s">
        <v>52</v>
      </c>
      <c r="C19" s="21" t="s">
        <v>53</v>
      </c>
      <c r="D19" s="31" t="s">
        <v>54</v>
      </c>
      <c r="E19" s="32" t="s">
        <v>55</v>
      </c>
      <c r="F19" s="33">
        <v>1000000</v>
      </c>
      <c r="G19" s="34">
        <v>7033.5</v>
      </c>
      <c r="H19" s="34">
        <v>1.07</v>
      </c>
      <c r="I19" s="35"/>
      <c r="J19" s="35"/>
      <c r="K19" s="36"/>
    </row>
    <row r="20" spans="2:11" x14ac:dyDescent="0.35">
      <c r="B20" s="1" t="s">
        <v>56</v>
      </c>
      <c r="C20" s="21" t="s">
        <v>57</v>
      </c>
      <c r="D20" s="31" t="s">
        <v>58</v>
      </c>
      <c r="E20" s="32" t="s">
        <v>36</v>
      </c>
      <c r="F20" s="33">
        <v>380000</v>
      </c>
      <c r="G20" s="34">
        <v>6677.55</v>
      </c>
      <c r="H20" s="34">
        <v>1.01</v>
      </c>
      <c r="I20" s="35"/>
      <c r="J20" s="35"/>
      <c r="K20" s="36"/>
    </row>
    <row r="21" spans="2:11" x14ac:dyDescent="0.35">
      <c r="B21" s="1" t="s">
        <v>59</v>
      </c>
      <c r="C21" s="21" t="s">
        <v>60</v>
      </c>
      <c r="D21" s="31" t="s">
        <v>61</v>
      </c>
      <c r="E21" s="32" t="s">
        <v>62</v>
      </c>
      <c r="F21" s="33">
        <v>2500000</v>
      </c>
      <c r="G21" s="34">
        <v>6653.75</v>
      </c>
      <c r="H21" s="34">
        <v>1.01</v>
      </c>
      <c r="I21" s="35"/>
      <c r="J21" s="35"/>
      <c r="K21" s="36"/>
    </row>
    <row r="22" spans="2:11" x14ac:dyDescent="0.35">
      <c r="B22" s="1" t="s">
        <v>63</v>
      </c>
      <c r="C22" s="21" t="s">
        <v>64</v>
      </c>
      <c r="D22" s="31" t="s">
        <v>65</v>
      </c>
      <c r="E22" s="32" t="s">
        <v>43</v>
      </c>
      <c r="F22" s="33">
        <v>1374277</v>
      </c>
      <c r="G22" s="34">
        <v>6566.98</v>
      </c>
      <c r="H22" s="34">
        <v>1</v>
      </c>
      <c r="I22" s="35"/>
      <c r="J22" s="35"/>
      <c r="K22" s="36"/>
    </row>
    <row r="23" spans="2:11" x14ac:dyDescent="0.35">
      <c r="B23" s="1" t="s">
        <v>66</v>
      </c>
      <c r="C23" s="21" t="s">
        <v>67</v>
      </c>
      <c r="D23" s="31" t="s">
        <v>68</v>
      </c>
      <c r="E23" s="32" t="s">
        <v>69</v>
      </c>
      <c r="F23" s="33">
        <v>5630100</v>
      </c>
      <c r="G23" s="34">
        <v>6516.84</v>
      </c>
      <c r="H23" s="34">
        <v>0.99</v>
      </c>
      <c r="I23" s="35"/>
      <c r="J23" s="35"/>
      <c r="K23" s="36"/>
    </row>
    <row r="24" spans="2:11" x14ac:dyDescent="0.35">
      <c r="B24" s="1" t="s">
        <v>70</v>
      </c>
      <c r="C24" s="21" t="s">
        <v>71</v>
      </c>
      <c r="D24" s="31" t="s">
        <v>72</v>
      </c>
      <c r="E24" s="32" t="s">
        <v>20</v>
      </c>
      <c r="F24" s="33">
        <v>3500000</v>
      </c>
      <c r="G24" s="34">
        <v>6377.35</v>
      </c>
      <c r="H24" s="34">
        <v>0.97</v>
      </c>
      <c r="I24" s="35"/>
      <c r="J24" s="35"/>
      <c r="K24" s="36"/>
    </row>
    <row r="25" spans="2:11" x14ac:dyDescent="0.35">
      <c r="B25" s="1" t="s">
        <v>73</v>
      </c>
      <c r="C25" s="21" t="s">
        <v>74</v>
      </c>
      <c r="D25" s="31" t="s">
        <v>75</v>
      </c>
      <c r="E25" s="32" t="s">
        <v>76</v>
      </c>
      <c r="F25" s="33">
        <v>3500000</v>
      </c>
      <c r="G25" s="34">
        <v>6221.6</v>
      </c>
      <c r="H25" s="34">
        <v>0.94</v>
      </c>
      <c r="I25" s="35"/>
      <c r="J25" s="35"/>
      <c r="K25" s="36"/>
    </row>
    <row r="26" spans="2:11" x14ac:dyDescent="0.35">
      <c r="B26" s="1" t="s">
        <v>77</v>
      </c>
      <c r="C26" s="21" t="s">
        <v>78</v>
      </c>
      <c r="D26" s="31" t="s">
        <v>79</v>
      </c>
      <c r="E26" s="32" t="s">
        <v>80</v>
      </c>
      <c r="F26" s="33">
        <v>3300000</v>
      </c>
      <c r="G26" s="34">
        <v>5995.11</v>
      </c>
      <c r="H26" s="34">
        <v>0.91</v>
      </c>
      <c r="I26" s="35"/>
      <c r="J26" s="35"/>
      <c r="K26" s="36"/>
    </row>
    <row r="27" spans="2:11" x14ac:dyDescent="0.35">
      <c r="B27" s="1" t="s">
        <v>81</v>
      </c>
      <c r="C27" s="21" t="s">
        <v>82</v>
      </c>
      <c r="D27" s="31" t="s">
        <v>83</v>
      </c>
      <c r="E27" s="32" t="s">
        <v>84</v>
      </c>
      <c r="F27" s="33">
        <v>2500000</v>
      </c>
      <c r="G27" s="34">
        <v>5989.75</v>
      </c>
      <c r="H27" s="34">
        <v>0.91</v>
      </c>
      <c r="I27" s="35"/>
      <c r="J27" s="35"/>
      <c r="K27" s="36"/>
    </row>
    <row r="28" spans="2:11" x14ac:dyDescent="0.35">
      <c r="B28" s="1" t="s">
        <v>85</v>
      </c>
      <c r="C28" s="21" t="s">
        <v>86</v>
      </c>
      <c r="D28" s="31" t="s">
        <v>87</v>
      </c>
      <c r="E28" s="32" t="s">
        <v>88</v>
      </c>
      <c r="F28" s="33">
        <v>3000000</v>
      </c>
      <c r="G28" s="34">
        <v>5675.7</v>
      </c>
      <c r="H28" s="34">
        <v>0.86</v>
      </c>
      <c r="I28" s="35"/>
      <c r="J28" s="35"/>
      <c r="K28" s="36"/>
    </row>
    <row r="29" spans="2:11" x14ac:dyDescent="0.35">
      <c r="B29" s="1" t="s">
        <v>89</v>
      </c>
      <c r="C29" s="21" t="s">
        <v>90</v>
      </c>
      <c r="D29" s="31" t="s">
        <v>91</v>
      </c>
      <c r="E29" s="32" t="s">
        <v>92</v>
      </c>
      <c r="F29" s="33">
        <v>420000</v>
      </c>
      <c r="G29" s="34">
        <v>5594.61</v>
      </c>
      <c r="H29" s="34">
        <v>0.85</v>
      </c>
      <c r="I29" s="35"/>
      <c r="J29" s="35"/>
      <c r="K29" s="36"/>
    </row>
    <row r="30" spans="2:11" x14ac:dyDescent="0.35">
      <c r="B30" s="1" t="s">
        <v>93</v>
      </c>
      <c r="C30" s="21" t="s">
        <v>94</v>
      </c>
      <c r="D30" s="31" t="s">
        <v>95</v>
      </c>
      <c r="E30" s="32" t="s">
        <v>96</v>
      </c>
      <c r="F30" s="33">
        <v>6000000</v>
      </c>
      <c r="G30" s="34">
        <v>5438.4</v>
      </c>
      <c r="H30" s="34">
        <v>0.83</v>
      </c>
      <c r="I30" s="35"/>
      <c r="J30" s="35"/>
      <c r="K30" s="36"/>
    </row>
    <row r="31" spans="2:11" x14ac:dyDescent="0.35">
      <c r="B31" s="1" t="s">
        <v>97</v>
      </c>
      <c r="C31" s="21" t="s">
        <v>98</v>
      </c>
      <c r="D31" s="31" t="s">
        <v>99</v>
      </c>
      <c r="E31" s="32" t="s">
        <v>47</v>
      </c>
      <c r="F31" s="33">
        <v>500000</v>
      </c>
      <c r="G31" s="34">
        <v>4615.25</v>
      </c>
      <c r="H31" s="34">
        <v>0.7</v>
      </c>
      <c r="I31" s="35"/>
      <c r="J31" s="35"/>
      <c r="K31" s="36"/>
    </row>
    <row r="32" spans="2:11" x14ac:dyDescent="0.35">
      <c r="B32" s="1" t="s">
        <v>100</v>
      </c>
      <c r="C32" s="21" t="s">
        <v>101</v>
      </c>
      <c r="D32" s="31" t="s">
        <v>102</v>
      </c>
      <c r="E32" s="32" t="s">
        <v>20</v>
      </c>
      <c r="F32" s="33">
        <v>761421</v>
      </c>
      <c r="G32" s="34">
        <v>4511.8</v>
      </c>
      <c r="H32" s="34">
        <v>0.68</v>
      </c>
      <c r="I32" s="35"/>
      <c r="J32" s="35"/>
      <c r="K32" s="36"/>
    </row>
    <row r="33" spans="2:11" x14ac:dyDescent="0.35">
      <c r="B33" s="1" t="s">
        <v>103</v>
      </c>
      <c r="C33" s="21" t="s">
        <v>104</v>
      </c>
      <c r="D33" s="31" t="s">
        <v>105</v>
      </c>
      <c r="E33" s="32" t="s">
        <v>84</v>
      </c>
      <c r="F33" s="33">
        <v>352916</v>
      </c>
      <c r="G33" s="34">
        <v>4496.68</v>
      </c>
      <c r="H33" s="34">
        <v>0.68</v>
      </c>
      <c r="I33" s="35"/>
      <c r="J33" s="35"/>
      <c r="K33" s="36"/>
    </row>
    <row r="34" spans="2:11" x14ac:dyDescent="0.35">
      <c r="B34" s="1" t="s">
        <v>106</v>
      </c>
      <c r="C34" s="21" t="s">
        <v>107</v>
      </c>
      <c r="D34" s="31" t="s">
        <v>108</v>
      </c>
      <c r="E34" s="32" t="s">
        <v>20</v>
      </c>
      <c r="F34" s="33">
        <v>320000</v>
      </c>
      <c r="G34" s="34">
        <v>4135.2</v>
      </c>
      <c r="H34" s="34">
        <v>0.63</v>
      </c>
      <c r="I34" s="35"/>
      <c r="J34" s="35"/>
      <c r="K34" s="36"/>
    </row>
    <row r="35" spans="2:11" x14ac:dyDescent="0.35">
      <c r="B35" s="1" t="s">
        <v>109</v>
      </c>
      <c r="C35" s="21" t="s">
        <v>110</v>
      </c>
      <c r="D35" s="31" t="s">
        <v>111</v>
      </c>
      <c r="E35" s="32" t="s">
        <v>112</v>
      </c>
      <c r="F35" s="33">
        <v>70000</v>
      </c>
      <c r="G35" s="34">
        <v>4008.83</v>
      </c>
      <c r="H35" s="34">
        <v>0.61</v>
      </c>
      <c r="I35" s="35"/>
      <c r="J35" s="35"/>
      <c r="K35" s="36"/>
    </row>
    <row r="36" spans="2:11" x14ac:dyDescent="0.35">
      <c r="B36" s="1" t="s">
        <v>113</v>
      </c>
      <c r="C36" s="21" t="s">
        <v>114</v>
      </c>
      <c r="D36" s="31" t="s">
        <v>115</v>
      </c>
      <c r="E36" s="32" t="s">
        <v>20</v>
      </c>
      <c r="F36" s="33">
        <v>4000000</v>
      </c>
      <c r="G36" s="34">
        <v>3916</v>
      </c>
      <c r="H36" s="34">
        <v>0.59</v>
      </c>
      <c r="I36" s="35"/>
      <c r="J36" s="35"/>
      <c r="K36" s="36"/>
    </row>
    <row r="37" spans="2:11" x14ac:dyDescent="0.35">
      <c r="B37" s="1" t="s">
        <v>116</v>
      </c>
      <c r="C37" s="21" t="s">
        <v>117</v>
      </c>
      <c r="D37" s="31" t="s">
        <v>118</v>
      </c>
      <c r="E37" s="32" t="s">
        <v>119</v>
      </c>
      <c r="F37" s="33">
        <v>430000</v>
      </c>
      <c r="G37" s="34">
        <v>3854.74</v>
      </c>
      <c r="H37" s="34">
        <v>0.57999999999999996</v>
      </c>
      <c r="I37" s="35"/>
      <c r="J37" s="35"/>
      <c r="K37" s="36"/>
    </row>
    <row r="38" spans="2:11" x14ac:dyDescent="0.35">
      <c r="B38" s="1" t="s">
        <v>120</v>
      </c>
      <c r="C38" s="21" t="s">
        <v>121</v>
      </c>
      <c r="D38" s="31" t="s">
        <v>122</v>
      </c>
      <c r="E38" s="32" t="s">
        <v>96</v>
      </c>
      <c r="F38" s="33">
        <v>639295</v>
      </c>
      <c r="G38" s="34">
        <v>3682.34</v>
      </c>
      <c r="H38" s="34">
        <v>0.56000000000000005</v>
      </c>
      <c r="I38" s="35"/>
      <c r="J38" s="35"/>
      <c r="K38" s="36"/>
    </row>
    <row r="39" spans="2:11" x14ac:dyDescent="0.35">
      <c r="B39" s="1" t="s">
        <v>123</v>
      </c>
      <c r="C39" s="21" t="s">
        <v>124</v>
      </c>
      <c r="D39" s="31" t="s">
        <v>125</v>
      </c>
      <c r="E39" s="32" t="s">
        <v>126</v>
      </c>
      <c r="F39" s="33">
        <v>738287</v>
      </c>
      <c r="G39" s="34">
        <v>3654.15</v>
      </c>
      <c r="H39" s="34">
        <v>0.55000000000000004</v>
      </c>
      <c r="I39" s="35"/>
      <c r="J39" s="35"/>
      <c r="K39" s="36"/>
    </row>
    <row r="40" spans="2:11" x14ac:dyDescent="0.35">
      <c r="B40" s="1" t="s">
        <v>127</v>
      </c>
      <c r="C40" s="21" t="s">
        <v>128</v>
      </c>
      <c r="D40" s="31" t="s">
        <v>129</v>
      </c>
      <c r="E40" s="32" t="s">
        <v>80</v>
      </c>
      <c r="F40" s="33">
        <v>85000</v>
      </c>
      <c r="G40" s="34">
        <v>3620.11</v>
      </c>
      <c r="H40" s="34">
        <v>0.55000000000000004</v>
      </c>
      <c r="I40" s="35"/>
      <c r="J40" s="35"/>
      <c r="K40" s="36"/>
    </row>
    <row r="41" spans="2:11" x14ac:dyDescent="0.35">
      <c r="B41" s="1" t="s">
        <v>130</v>
      </c>
      <c r="C41" s="21" t="s">
        <v>131</v>
      </c>
      <c r="D41" s="31" t="s">
        <v>132</v>
      </c>
      <c r="E41" s="32" t="s">
        <v>133</v>
      </c>
      <c r="F41" s="33">
        <v>1607151</v>
      </c>
      <c r="G41" s="34">
        <v>3604.04</v>
      </c>
      <c r="H41" s="34">
        <v>0.55000000000000004</v>
      </c>
      <c r="I41" s="35"/>
      <c r="J41" s="35"/>
      <c r="K41" s="36"/>
    </row>
    <row r="42" spans="2:11" x14ac:dyDescent="0.35">
      <c r="B42" s="1" t="s">
        <v>134</v>
      </c>
      <c r="C42" s="21" t="s">
        <v>135</v>
      </c>
      <c r="D42" s="31" t="s">
        <v>136</v>
      </c>
      <c r="E42" s="32" t="s">
        <v>36</v>
      </c>
      <c r="F42" s="33">
        <v>200000</v>
      </c>
      <c r="G42" s="34">
        <v>3532.1</v>
      </c>
      <c r="H42" s="34">
        <v>0.54</v>
      </c>
      <c r="I42" s="35"/>
      <c r="J42" s="35"/>
      <c r="K42" s="36"/>
    </row>
    <row r="43" spans="2:11" x14ac:dyDescent="0.35">
      <c r="B43" s="1" t="s">
        <v>137</v>
      </c>
      <c r="C43" s="21" t="s">
        <v>138</v>
      </c>
      <c r="D43" s="31" t="s">
        <v>139</v>
      </c>
      <c r="E43" s="32" t="s">
        <v>20</v>
      </c>
      <c r="F43" s="33">
        <v>1960755</v>
      </c>
      <c r="G43" s="34">
        <v>3445.83</v>
      </c>
      <c r="H43" s="34">
        <v>0.52</v>
      </c>
      <c r="I43" s="35"/>
      <c r="J43" s="35"/>
      <c r="K43" s="36"/>
    </row>
    <row r="44" spans="2:11" x14ac:dyDescent="0.35">
      <c r="B44" s="1" t="s">
        <v>140</v>
      </c>
      <c r="C44" s="21" t="s">
        <v>141</v>
      </c>
      <c r="D44" s="31" t="s">
        <v>142</v>
      </c>
      <c r="E44" s="32" t="s">
        <v>133</v>
      </c>
      <c r="F44" s="33">
        <v>1300000</v>
      </c>
      <c r="G44" s="34">
        <v>3010.54</v>
      </c>
      <c r="H44" s="34">
        <v>0.46</v>
      </c>
      <c r="I44" s="35"/>
      <c r="J44" s="35"/>
      <c r="K44" s="36"/>
    </row>
    <row r="45" spans="2:11" x14ac:dyDescent="0.35">
      <c r="B45" s="1" t="s">
        <v>143</v>
      </c>
      <c r="C45" s="21" t="s">
        <v>144</v>
      </c>
      <c r="D45" s="31" t="s">
        <v>145</v>
      </c>
      <c r="E45" s="32" t="s">
        <v>36</v>
      </c>
      <c r="F45" s="33">
        <v>50000</v>
      </c>
      <c r="G45" s="34">
        <v>2855.43</v>
      </c>
      <c r="H45" s="34">
        <v>0.43</v>
      </c>
      <c r="I45" s="35"/>
      <c r="J45" s="35"/>
      <c r="K45" s="36"/>
    </row>
    <row r="46" spans="2:11" x14ac:dyDescent="0.35">
      <c r="B46" s="1" t="s">
        <v>146</v>
      </c>
      <c r="C46" s="21" t="s">
        <v>147</v>
      </c>
      <c r="D46" s="31" t="s">
        <v>148</v>
      </c>
      <c r="E46" s="32" t="s">
        <v>36</v>
      </c>
      <c r="F46" s="33">
        <v>165000</v>
      </c>
      <c r="G46" s="34">
        <v>2654.27</v>
      </c>
      <c r="H46" s="34">
        <v>0.4</v>
      </c>
      <c r="I46" s="35"/>
      <c r="J46" s="35"/>
      <c r="K46" s="36"/>
    </row>
    <row r="47" spans="2:11" x14ac:dyDescent="0.35">
      <c r="B47" s="1" t="s">
        <v>149</v>
      </c>
      <c r="C47" s="21" t="s">
        <v>150</v>
      </c>
      <c r="D47" s="31" t="s">
        <v>151</v>
      </c>
      <c r="E47" s="32" t="s">
        <v>152</v>
      </c>
      <c r="F47" s="33">
        <v>179171</v>
      </c>
      <c r="G47" s="34">
        <v>2596.37</v>
      </c>
      <c r="H47" s="34">
        <v>0.39</v>
      </c>
      <c r="I47" s="35"/>
      <c r="J47" s="35"/>
      <c r="K47" s="36"/>
    </row>
    <row r="48" spans="2:11" x14ac:dyDescent="0.35">
      <c r="B48" s="1" t="s">
        <v>153</v>
      </c>
      <c r="C48" s="21" t="s">
        <v>154</v>
      </c>
      <c r="D48" s="31" t="s">
        <v>155</v>
      </c>
      <c r="E48" s="32" t="s">
        <v>156</v>
      </c>
      <c r="F48" s="33">
        <v>160000</v>
      </c>
      <c r="G48" s="34">
        <v>2580.16</v>
      </c>
      <c r="H48" s="34">
        <v>0.39</v>
      </c>
      <c r="I48" s="35"/>
      <c r="J48" s="35"/>
      <c r="K48" s="36"/>
    </row>
    <row r="49" spans="2:11" x14ac:dyDescent="0.35">
      <c r="B49" s="1" t="s">
        <v>157</v>
      </c>
      <c r="C49" s="21" t="s">
        <v>158</v>
      </c>
      <c r="D49" s="31" t="s">
        <v>159</v>
      </c>
      <c r="E49" s="32" t="s">
        <v>160</v>
      </c>
      <c r="F49" s="33">
        <v>525000</v>
      </c>
      <c r="G49" s="34">
        <v>2579.06</v>
      </c>
      <c r="H49" s="34">
        <v>0.39</v>
      </c>
      <c r="I49" s="35"/>
      <c r="J49" s="35"/>
      <c r="K49" s="36"/>
    </row>
    <row r="50" spans="2:11" x14ac:dyDescent="0.35">
      <c r="B50" s="1" t="s">
        <v>161</v>
      </c>
      <c r="C50" s="21" t="s">
        <v>162</v>
      </c>
      <c r="D50" s="31" t="s">
        <v>163</v>
      </c>
      <c r="E50" s="32" t="s">
        <v>126</v>
      </c>
      <c r="F50" s="33">
        <v>809832</v>
      </c>
      <c r="G50" s="34">
        <v>2524.65</v>
      </c>
      <c r="H50" s="34">
        <v>0.38</v>
      </c>
      <c r="I50" s="35"/>
      <c r="J50" s="35"/>
      <c r="K50" s="36"/>
    </row>
    <row r="51" spans="2:11" x14ac:dyDescent="0.35">
      <c r="B51" s="1" t="s">
        <v>164</v>
      </c>
      <c r="C51" s="21" t="s">
        <v>165</v>
      </c>
      <c r="D51" s="31" t="s">
        <v>166</v>
      </c>
      <c r="E51" s="32" t="s">
        <v>76</v>
      </c>
      <c r="F51" s="33">
        <v>56794</v>
      </c>
      <c r="G51" s="34">
        <v>2441.83</v>
      </c>
      <c r="H51" s="34">
        <v>0.37</v>
      </c>
      <c r="I51" s="35"/>
      <c r="J51" s="35"/>
      <c r="K51" s="36"/>
    </row>
    <row r="52" spans="2:11" x14ac:dyDescent="0.35">
      <c r="B52" s="1" t="s">
        <v>167</v>
      </c>
      <c r="C52" s="21" t="s">
        <v>168</v>
      </c>
      <c r="D52" s="31" t="s">
        <v>169</v>
      </c>
      <c r="E52" s="32" t="s">
        <v>160</v>
      </c>
      <c r="F52" s="33">
        <v>147079</v>
      </c>
      <c r="G52" s="34">
        <v>2428.42</v>
      </c>
      <c r="H52" s="34">
        <v>0.37</v>
      </c>
      <c r="I52" s="35"/>
      <c r="J52" s="35"/>
      <c r="K52" s="36"/>
    </row>
    <row r="53" spans="2:11" x14ac:dyDescent="0.35">
      <c r="B53" s="1" t="s">
        <v>170</v>
      </c>
      <c r="C53" s="21" t="s">
        <v>171</v>
      </c>
      <c r="D53" s="31" t="s">
        <v>172</v>
      </c>
      <c r="E53" s="32" t="s">
        <v>20</v>
      </c>
      <c r="F53" s="33">
        <v>3465000</v>
      </c>
      <c r="G53" s="34">
        <v>2421.69</v>
      </c>
      <c r="H53" s="34">
        <v>0.37</v>
      </c>
      <c r="I53" s="35"/>
      <c r="J53" s="35"/>
      <c r="K53" s="36"/>
    </row>
    <row r="54" spans="2:11" x14ac:dyDescent="0.35">
      <c r="B54" s="1" t="s">
        <v>173</v>
      </c>
      <c r="C54" s="21" t="s">
        <v>174</v>
      </c>
      <c r="D54" s="31" t="s">
        <v>175</v>
      </c>
      <c r="E54" s="32" t="s">
        <v>176</v>
      </c>
      <c r="F54" s="33">
        <v>500000</v>
      </c>
      <c r="G54" s="34">
        <v>1695.25</v>
      </c>
      <c r="H54" s="34">
        <v>0.26</v>
      </c>
      <c r="I54" s="35"/>
      <c r="J54" s="35"/>
      <c r="K54" s="36"/>
    </row>
    <row r="55" spans="2:11" x14ac:dyDescent="0.35">
      <c r="B55" s="1" t="s">
        <v>177</v>
      </c>
      <c r="C55" s="21" t="s">
        <v>178</v>
      </c>
      <c r="D55" s="31" t="s">
        <v>179</v>
      </c>
      <c r="E55" s="32" t="s">
        <v>43</v>
      </c>
      <c r="F55" s="33">
        <v>681540</v>
      </c>
      <c r="G55" s="34">
        <v>1473.63</v>
      </c>
      <c r="H55" s="34">
        <v>0.22</v>
      </c>
      <c r="I55" s="35"/>
      <c r="J55" s="35"/>
      <c r="K55" s="36"/>
    </row>
    <row r="56" spans="2:11" x14ac:dyDescent="0.35">
      <c r="B56" s="1" t="s">
        <v>180</v>
      </c>
      <c r="C56" s="21" t="s">
        <v>181</v>
      </c>
      <c r="D56" s="31" t="s">
        <v>182</v>
      </c>
      <c r="E56" s="32" t="s">
        <v>183</v>
      </c>
      <c r="F56" s="33">
        <v>75000</v>
      </c>
      <c r="G56" s="34">
        <v>1177.6500000000001</v>
      </c>
      <c r="H56" s="34">
        <v>0.18</v>
      </c>
      <c r="I56" s="35"/>
      <c r="J56" s="35"/>
      <c r="K56" s="36"/>
    </row>
    <row r="57" spans="2:11" x14ac:dyDescent="0.35">
      <c r="B57" s="1" t="s">
        <v>184</v>
      </c>
      <c r="C57" s="21" t="s">
        <v>185</v>
      </c>
      <c r="D57" s="31" t="s">
        <v>186</v>
      </c>
      <c r="E57" s="32" t="s">
        <v>20</v>
      </c>
      <c r="F57" s="33">
        <v>100000</v>
      </c>
      <c r="G57" s="34">
        <v>1159.55</v>
      </c>
      <c r="H57" s="34">
        <v>0.18</v>
      </c>
      <c r="I57" s="35"/>
      <c r="J57" s="35"/>
      <c r="K57" s="36"/>
    </row>
    <row r="58" spans="2:11" x14ac:dyDescent="0.35">
      <c r="B58" s="1" t="s">
        <v>187</v>
      </c>
      <c r="C58" s="21" t="s">
        <v>188</v>
      </c>
      <c r="D58" s="31" t="s">
        <v>189</v>
      </c>
      <c r="E58" s="32" t="s">
        <v>133</v>
      </c>
      <c r="F58" s="33">
        <v>22541</v>
      </c>
      <c r="G58" s="34">
        <v>79.5</v>
      </c>
      <c r="H58" s="34">
        <v>0.01</v>
      </c>
      <c r="I58" s="35"/>
      <c r="J58" s="35"/>
      <c r="K58" s="36"/>
    </row>
    <row r="59" spans="2:11" x14ac:dyDescent="0.35">
      <c r="C59" s="30" t="s">
        <v>190</v>
      </c>
      <c r="D59" s="31"/>
      <c r="E59" s="32"/>
      <c r="F59" s="33"/>
      <c r="G59" s="38">
        <f>SUM(XDO_?FINAL_MV?143?)</f>
        <v>236609.52999999991</v>
      </c>
      <c r="H59" s="38">
        <f>SUM(XDO_?FINAL_PER_NET?143?)</f>
        <v>35.899999999999984</v>
      </c>
      <c r="I59" s="35"/>
      <c r="J59" s="35"/>
      <c r="K59" s="36"/>
    </row>
    <row r="60" spans="2:11" x14ac:dyDescent="0.35">
      <c r="C60" s="21"/>
      <c r="D60" s="31"/>
      <c r="E60" s="32"/>
      <c r="F60" s="33"/>
      <c r="G60" s="34"/>
      <c r="H60" s="34"/>
      <c r="I60" s="35"/>
      <c r="J60" s="35"/>
      <c r="K60" s="36"/>
    </row>
    <row r="61" spans="2:11" x14ac:dyDescent="0.35">
      <c r="C61" s="30" t="s">
        <v>191</v>
      </c>
      <c r="D61" s="31"/>
      <c r="E61" s="32"/>
      <c r="F61" s="33"/>
      <c r="G61" s="34" t="s">
        <v>192</v>
      </c>
      <c r="H61" s="34" t="s">
        <v>192</v>
      </c>
      <c r="I61" s="35"/>
      <c r="J61" s="35"/>
      <c r="K61" s="36"/>
    </row>
    <row r="62" spans="2:11" x14ac:dyDescent="0.35">
      <c r="C62" s="21"/>
      <c r="D62" s="31"/>
      <c r="E62" s="32"/>
      <c r="F62" s="33"/>
      <c r="G62" s="34"/>
      <c r="H62" s="34"/>
      <c r="I62" s="35"/>
      <c r="J62" s="35"/>
      <c r="K62" s="36"/>
    </row>
    <row r="63" spans="2:11" x14ac:dyDescent="0.35">
      <c r="C63" s="30" t="s">
        <v>193</v>
      </c>
      <c r="D63" s="31"/>
      <c r="E63" s="32"/>
      <c r="F63" s="33"/>
      <c r="G63" s="34" t="s">
        <v>192</v>
      </c>
      <c r="H63" s="34" t="s">
        <v>192</v>
      </c>
      <c r="I63" s="35"/>
      <c r="J63" s="35"/>
      <c r="K63" s="36"/>
    </row>
    <row r="64" spans="2:11" x14ac:dyDescent="0.35">
      <c r="C64" s="21"/>
      <c r="D64" s="31"/>
      <c r="E64" s="32"/>
      <c r="F64" s="33"/>
      <c r="G64" s="34"/>
      <c r="H64" s="34"/>
      <c r="I64" s="35"/>
      <c r="J64" s="35"/>
      <c r="K64" s="36"/>
    </row>
    <row r="65" spans="1:11" x14ac:dyDescent="0.35">
      <c r="C65" s="37" t="s">
        <v>194</v>
      </c>
      <c r="D65" s="31"/>
      <c r="E65" s="32"/>
      <c r="F65" s="33"/>
      <c r="G65" s="34"/>
      <c r="H65" s="34"/>
      <c r="I65" s="35"/>
      <c r="J65" s="35"/>
      <c r="K65" s="36"/>
    </row>
    <row r="66" spans="1:11" x14ac:dyDescent="0.35">
      <c r="B66" s="1" t="s">
        <v>195</v>
      </c>
      <c r="C66" s="21" t="s">
        <v>196</v>
      </c>
      <c r="D66" s="31" t="s">
        <v>197</v>
      </c>
      <c r="E66" s="32" t="s">
        <v>198</v>
      </c>
      <c r="F66" s="33">
        <v>2600000</v>
      </c>
      <c r="G66" s="34">
        <v>3250</v>
      </c>
      <c r="H66" s="34">
        <v>0.49</v>
      </c>
      <c r="I66" s="35"/>
      <c r="J66" s="35"/>
      <c r="K66" s="36"/>
    </row>
    <row r="67" spans="1:11" x14ac:dyDescent="0.35">
      <c r="C67" s="30" t="s">
        <v>190</v>
      </c>
      <c r="D67" s="31"/>
      <c r="E67" s="32"/>
      <c r="F67" s="33"/>
      <c r="G67" s="38">
        <v>3250</v>
      </c>
      <c r="H67" s="38">
        <v>0.49</v>
      </c>
      <c r="I67" s="35"/>
      <c r="J67" s="35"/>
      <c r="K67" s="36"/>
    </row>
    <row r="68" spans="1:11" x14ac:dyDescent="0.35">
      <c r="C68" s="21"/>
      <c r="D68" s="31"/>
      <c r="E68" s="32"/>
      <c r="F68" s="33"/>
      <c r="G68" s="34"/>
      <c r="H68" s="34"/>
      <c r="I68" s="35"/>
      <c r="J68" s="35"/>
      <c r="K68" s="36"/>
    </row>
    <row r="69" spans="1:11" x14ac:dyDescent="0.35">
      <c r="C69" s="37" t="s">
        <v>199</v>
      </c>
      <c r="D69" s="31"/>
      <c r="E69" s="32"/>
      <c r="F69" s="33"/>
      <c r="G69" s="34"/>
      <c r="H69" s="34"/>
      <c r="I69" s="35"/>
      <c r="J69" s="35"/>
      <c r="K69" s="36"/>
    </row>
    <row r="70" spans="1:11" x14ac:dyDescent="0.35">
      <c r="B70" s="1" t="s">
        <v>200</v>
      </c>
      <c r="C70" s="21" t="s">
        <v>201</v>
      </c>
      <c r="D70" s="31" t="s">
        <v>202</v>
      </c>
      <c r="E70" s="32" t="s">
        <v>126</v>
      </c>
      <c r="F70" s="33">
        <v>2900000</v>
      </c>
      <c r="G70" s="34">
        <v>11464.28</v>
      </c>
      <c r="H70" s="34">
        <v>1.74</v>
      </c>
      <c r="I70" s="35"/>
      <c r="J70" s="35"/>
      <c r="K70" s="36"/>
    </row>
    <row r="71" spans="1:11" x14ac:dyDescent="0.35">
      <c r="C71" s="30" t="s">
        <v>190</v>
      </c>
      <c r="D71" s="31"/>
      <c r="E71" s="32"/>
      <c r="F71" s="33"/>
      <c r="G71" s="38">
        <v>11464.28</v>
      </c>
      <c r="H71" s="38">
        <v>1.74</v>
      </c>
      <c r="I71" s="35"/>
      <c r="J71" s="35"/>
      <c r="K71" s="36"/>
    </row>
    <row r="72" spans="1:11" x14ac:dyDescent="0.35">
      <c r="C72" s="21"/>
      <c r="D72" s="31"/>
      <c r="E72" s="32"/>
      <c r="F72" s="33"/>
      <c r="G72" s="34"/>
      <c r="H72" s="34"/>
      <c r="I72" s="35"/>
      <c r="J72" s="35"/>
      <c r="K72" s="36"/>
    </row>
    <row r="73" spans="1:11" x14ac:dyDescent="0.35">
      <c r="C73" s="37" t="s">
        <v>203</v>
      </c>
      <c r="D73" s="31"/>
      <c r="E73" s="32"/>
      <c r="F73" s="33"/>
      <c r="G73" s="34"/>
      <c r="H73" s="34"/>
      <c r="I73" s="35"/>
      <c r="J73" s="35"/>
      <c r="K73" s="36"/>
    </row>
    <row r="74" spans="1:11" x14ac:dyDescent="0.35">
      <c r="B74" s="1" t="s">
        <v>204</v>
      </c>
      <c r="C74" s="21" t="s">
        <v>205</v>
      </c>
      <c r="D74" s="31" t="s">
        <v>206</v>
      </c>
      <c r="E74" s="32" t="s">
        <v>207</v>
      </c>
      <c r="F74" s="33">
        <v>6000</v>
      </c>
      <c r="G74" s="34">
        <v>6302.36</v>
      </c>
      <c r="H74" s="34">
        <v>0.96</v>
      </c>
      <c r="I74" s="35">
        <v>8.2550000000000008</v>
      </c>
      <c r="J74" s="35"/>
      <c r="K74" s="36" t="s">
        <v>208</v>
      </c>
    </row>
    <row r="75" spans="1:11" x14ac:dyDescent="0.35">
      <c r="C75" s="30" t="s">
        <v>190</v>
      </c>
      <c r="D75" s="31"/>
      <c r="E75" s="32"/>
      <c r="F75" s="33"/>
      <c r="G75" s="38">
        <v>6302.36</v>
      </c>
      <c r="H75" s="38">
        <v>0.96</v>
      </c>
      <c r="I75" s="35"/>
      <c r="J75" s="35"/>
      <c r="K75" s="36"/>
    </row>
    <row r="76" spans="1:11" x14ac:dyDescent="0.35">
      <c r="C76" s="21"/>
      <c r="D76" s="31"/>
      <c r="E76" s="32"/>
      <c r="F76" s="33"/>
      <c r="G76" s="34"/>
      <c r="H76" s="34"/>
      <c r="I76" s="35"/>
      <c r="J76" s="35"/>
      <c r="K76" s="36"/>
    </row>
    <row r="77" spans="1:11" x14ac:dyDescent="0.35">
      <c r="A77" s="28"/>
      <c r="B77" s="29"/>
      <c r="C77" s="30" t="s">
        <v>209</v>
      </c>
      <c r="D77" s="31"/>
      <c r="E77" s="32"/>
      <c r="F77" s="33"/>
      <c r="G77" s="34"/>
      <c r="H77" s="34"/>
      <c r="I77" s="35"/>
      <c r="J77" s="35"/>
      <c r="K77" s="36"/>
    </row>
    <row r="78" spans="1:11" x14ac:dyDescent="0.35">
      <c r="C78" s="37" t="s">
        <v>210</v>
      </c>
      <c r="D78" s="31"/>
      <c r="E78" s="32"/>
      <c r="F78" s="33"/>
      <c r="G78" s="34"/>
      <c r="H78" s="34"/>
      <c r="I78" s="35"/>
      <c r="J78" s="35"/>
      <c r="K78" s="36"/>
    </row>
    <row r="79" spans="1:11" x14ac:dyDescent="0.35">
      <c r="B79" s="1" t="s">
        <v>211</v>
      </c>
      <c r="C79" s="21" t="s">
        <v>212</v>
      </c>
      <c r="D79" s="31" t="s">
        <v>213</v>
      </c>
      <c r="E79" s="32" t="s">
        <v>214</v>
      </c>
      <c r="F79" s="33">
        <v>20000</v>
      </c>
      <c r="G79" s="34">
        <v>20061.3</v>
      </c>
      <c r="H79" s="34">
        <v>3.04</v>
      </c>
      <c r="I79" s="35">
        <v>7.7999000000000001</v>
      </c>
      <c r="J79" s="35"/>
      <c r="K79" s="36" t="s">
        <v>208</v>
      </c>
    </row>
    <row r="80" spans="1:11" x14ac:dyDescent="0.35">
      <c r="B80" s="1" t="s">
        <v>215</v>
      </c>
      <c r="C80" s="21" t="s">
        <v>216</v>
      </c>
      <c r="D80" s="31" t="s">
        <v>217</v>
      </c>
      <c r="E80" s="32" t="s">
        <v>218</v>
      </c>
      <c r="F80" s="33">
        <v>20000</v>
      </c>
      <c r="G80" s="34">
        <v>20040.580000000002</v>
      </c>
      <c r="H80" s="34">
        <v>3.04</v>
      </c>
      <c r="I80" s="35">
        <v>8.5048999999999992</v>
      </c>
      <c r="J80" s="35"/>
      <c r="K80" s="36" t="s">
        <v>208</v>
      </c>
    </row>
    <row r="81" spans="2:11" x14ac:dyDescent="0.35">
      <c r="B81" s="1" t="s">
        <v>219</v>
      </c>
      <c r="C81" s="21" t="s">
        <v>220</v>
      </c>
      <c r="D81" s="31" t="s">
        <v>221</v>
      </c>
      <c r="E81" s="32" t="s">
        <v>222</v>
      </c>
      <c r="F81" s="33">
        <v>16000</v>
      </c>
      <c r="G81" s="34">
        <v>16055.62</v>
      </c>
      <c r="H81" s="34">
        <v>2.44</v>
      </c>
      <c r="I81" s="35">
        <v>8.3091000000000008</v>
      </c>
      <c r="J81" s="35"/>
      <c r="K81" s="36" t="s">
        <v>208</v>
      </c>
    </row>
    <row r="82" spans="2:11" x14ac:dyDescent="0.35">
      <c r="B82" s="1" t="s">
        <v>223</v>
      </c>
      <c r="C82" s="21" t="s">
        <v>224</v>
      </c>
      <c r="D82" s="31" t="s">
        <v>225</v>
      </c>
      <c r="E82" s="32" t="s">
        <v>222</v>
      </c>
      <c r="F82" s="33">
        <v>15000</v>
      </c>
      <c r="G82" s="34">
        <v>14952.71</v>
      </c>
      <c r="H82" s="34">
        <v>2.27</v>
      </c>
      <c r="I82" s="35">
        <v>9.85</v>
      </c>
      <c r="J82" s="35"/>
      <c r="K82" s="36" t="s">
        <v>208</v>
      </c>
    </row>
    <row r="83" spans="2:11" x14ac:dyDescent="0.35">
      <c r="B83" s="1" t="s">
        <v>226</v>
      </c>
      <c r="C83" s="21" t="s">
        <v>227</v>
      </c>
      <c r="D83" s="31" t="s">
        <v>228</v>
      </c>
      <c r="E83" s="32" t="s">
        <v>229</v>
      </c>
      <c r="F83" s="33">
        <v>12500</v>
      </c>
      <c r="G83" s="34">
        <v>12429.84</v>
      </c>
      <c r="H83" s="34">
        <v>1.89</v>
      </c>
      <c r="I83" s="35">
        <v>9.5940999999999992</v>
      </c>
      <c r="J83" s="35"/>
      <c r="K83" s="36" t="s">
        <v>208</v>
      </c>
    </row>
    <row r="84" spans="2:11" x14ac:dyDescent="0.35">
      <c r="B84" s="1" t="s">
        <v>230</v>
      </c>
      <c r="C84" s="21" t="s">
        <v>231</v>
      </c>
      <c r="D84" s="31" t="s">
        <v>232</v>
      </c>
      <c r="E84" s="32" t="s">
        <v>233</v>
      </c>
      <c r="F84" s="33">
        <v>1000</v>
      </c>
      <c r="G84" s="34">
        <v>10001.91</v>
      </c>
      <c r="H84" s="34">
        <v>1.52</v>
      </c>
      <c r="I84" s="35">
        <v>8.2301500000000001</v>
      </c>
      <c r="J84" s="35"/>
      <c r="K84" s="36" t="s">
        <v>208</v>
      </c>
    </row>
    <row r="85" spans="2:11" x14ac:dyDescent="0.35">
      <c r="B85" s="1" t="s">
        <v>234</v>
      </c>
      <c r="C85" s="21" t="s">
        <v>235</v>
      </c>
      <c r="D85" s="31" t="s">
        <v>236</v>
      </c>
      <c r="E85" s="32" t="s">
        <v>237</v>
      </c>
      <c r="F85" s="33">
        <v>9000</v>
      </c>
      <c r="G85" s="34">
        <v>9178.43</v>
      </c>
      <c r="H85" s="34">
        <v>1.39</v>
      </c>
      <c r="I85" s="35">
        <v>7.585</v>
      </c>
      <c r="J85" s="35"/>
      <c r="K85" s="36" t="s">
        <v>208</v>
      </c>
    </row>
    <row r="86" spans="2:11" x14ac:dyDescent="0.35">
      <c r="B86" s="1" t="s">
        <v>238</v>
      </c>
      <c r="C86" s="21" t="s">
        <v>239</v>
      </c>
      <c r="D86" s="31" t="s">
        <v>240</v>
      </c>
      <c r="E86" s="32" t="s">
        <v>241</v>
      </c>
      <c r="F86" s="33">
        <v>9000</v>
      </c>
      <c r="G86" s="34">
        <v>8994.25</v>
      </c>
      <c r="H86" s="34">
        <v>1.36</v>
      </c>
      <c r="I86" s="35">
        <v>9.7255000000000003</v>
      </c>
      <c r="J86" s="35"/>
      <c r="K86" s="36" t="s">
        <v>208</v>
      </c>
    </row>
    <row r="87" spans="2:11" x14ac:dyDescent="0.35">
      <c r="B87" s="1" t="s">
        <v>242</v>
      </c>
      <c r="C87" s="21" t="s">
        <v>243</v>
      </c>
      <c r="D87" s="31" t="s">
        <v>244</v>
      </c>
      <c r="E87" s="32" t="s">
        <v>245</v>
      </c>
      <c r="F87" s="33">
        <v>850</v>
      </c>
      <c r="G87" s="34">
        <v>8461.16</v>
      </c>
      <c r="H87" s="34">
        <v>1.28</v>
      </c>
      <c r="I87" s="35">
        <v>7.2725999999999997</v>
      </c>
      <c r="J87" s="35">
        <v>8.1248500000000003</v>
      </c>
      <c r="K87" s="36" t="s">
        <v>208</v>
      </c>
    </row>
    <row r="88" spans="2:11" x14ac:dyDescent="0.35">
      <c r="B88" s="1" t="s">
        <v>246</v>
      </c>
      <c r="C88" s="21" t="s">
        <v>247</v>
      </c>
      <c r="D88" s="31" t="s">
        <v>248</v>
      </c>
      <c r="E88" s="32" t="s">
        <v>249</v>
      </c>
      <c r="F88" s="33">
        <v>7500</v>
      </c>
      <c r="G88" s="34">
        <v>7540.37</v>
      </c>
      <c r="H88" s="34">
        <v>1.1399999999999999</v>
      </c>
      <c r="I88" s="35">
        <v>8.1649999999999991</v>
      </c>
      <c r="J88" s="35"/>
      <c r="K88" s="36" t="s">
        <v>208</v>
      </c>
    </row>
    <row r="89" spans="2:11" x14ac:dyDescent="0.35">
      <c r="B89" s="1" t="s">
        <v>250</v>
      </c>
      <c r="C89" s="21" t="s">
        <v>205</v>
      </c>
      <c r="D89" s="31" t="s">
        <v>251</v>
      </c>
      <c r="E89" s="32" t="s">
        <v>214</v>
      </c>
      <c r="F89" s="33">
        <v>7500</v>
      </c>
      <c r="G89" s="34">
        <v>7538.15</v>
      </c>
      <c r="H89" s="34">
        <v>1.1399999999999999</v>
      </c>
      <c r="I89" s="35">
        <v>8.31</v>
      </c>
      <c r="J89" s="35"/>
      <c r="K89" s="36" t="s">
        <v>208</v>
      </c>
    </row>
    <row r="90" spans="2:11" x14ac:dyDescent="0.35">
      <c r="B90" s="1" t="s">
        <v>252</v>
      </c>
      <c r="C90" s="21" t="s">
        <v>253</v>
      </c>
      <c r="D90" s="31" t="s">
        <v>254</v>
      </c>
      <c r="E90" s="32" t="s">
        <v>233</v>
      </c>
      <c r="F90" s="33">
        <v>7500</v>
      </c>
      <c r="G90" s="34">
        <v>7518.59</v>
      </c>
      <c r="H90" s="34">
        <v>1.1399999999999999</v>
      </c>
      <c r="I90" s="35">
        <v>8.1336999999999993</v>
      </c>
      <c r="J90" s="35"/>
      <c r="K90" s="36" t="s">
        <v>208</v>
      </c>
    </row>
    <row r="91" spans="2:11" x14ac:dyDescent="0.35">
      <c r="B91" s="1" t="s">
        <v>255</v>
      </c>
      <c r="C91" s="21" t="s">
        <v>256</v>
      </c>
      <c r="D91" s="31" t="s">
        <v>257</v>
      </c>
      <c r="E91" s="32" t="s">
        <v>233</v>
      </c>
      <c r="F91" s="33">
        <v>7500</v>
      </c>
      <c r="G91" s="34">
        <v>7503.92</v>
      </c>
      <c r="H91" s="34">
        <v>1.1399999999999999</v>
      </c>
      <c r="I91" s="35">
        <v>8.7149999999999999</v>
      </c>
      <c r="J91" s="35"/>
      <c r="K91" s="36" t="s">
        <v>208</v>
      </c>
    </row>
    <row r="92" spans="2:11" x14ac:dyDescent="0.35">
      <c r="B92" s="1" t="s">
        <v>258</v>
      </c>
      <c r="C92" s="21" t="s">
        <v>259</v>
      </c>
      <c r="D92" s="31" t="s">
        <v>260</v>
      </c>
      <c r="E92" s="32" t="s">
        <v>261</v>
      </c>
      <c r="F92" s="33">
        <v>5000</v>
      </c>
      <c r="G92" s="34">
        <v>5049.97</v>
      </c>
      <c r="H92" s="34">
        <v>0.77</v>
      </c>
      <c r="I92" s="35">
        <v>9.0738000000000003</v>
      </c>
      <c r="J92" s="35"/>
      <c r="K92" s="36" t="s">
        <v>208</v>
      </c>
    </row>
    <row r="93" spans="2:11" x14ac:dyDescent="0.35">
      <c r="B93" s="1" t="s">
        <v>262</v>
      </c>
      <c r="C93" s="21" t="s">
        <v>263</v>
      </c>
      <c r="D93" s="31" t="s">
        <v>264</v>
      </c>
      <c r="E93" s="32" t="s">
        <v>265</v>
      </c>
      <c r="F93" s="33">
        <v>5000</v>
      </c>
      <c r="G93" s="34">
        <v>5034.18</v>
      </c>
      <c r="H93" s="34">
        <v>0.76</v>
      </c>
      <c r="I93" s="35">
        <v>9.9046000000000003</v>
      </c>
      <c r="J93" s="35"/>
      <c r="K93" s="36" t="s">
        <v>208</v>
      </c>
    </row>
    <row r="94" spans="2:11" x14ac:dyDescent="0.35">
      <c r="B94" s="1" t="s">
        <v>266</v>
      </c>
      <c r="C94" s="21" t="s">
        <v>267</v>
      </c>
      <c r="D94" s="31" t="s">
        <v>268</v>
      </c>
      <c r="E94" s="32" t="s">
        <v>237</v>
      </c>
      <c r="F94" s="33">
        <v>5000</v>
      </c>
      <c r="G94" s="34">
        <v>5033.5</v>
      </c>
      <c r="H94" s="34">
        <v>0.76</v>
      </c>
      <c r="I94" s="35">
        <v>7.98</v>
      </c>
      <c r="J94" s="35"/>
      <c r="K94" s="36" t="s">
        <v>208</v>
      </c>
    </row>
    <row r="95" spans="2:11" x14ac:dyDescent="0.35">
      <c r="B95" s="1" t="s">
        <v>269</v>
      </c>
      <c r="C95" s="21" t="s">
        <v>270</v>
      </c>
      <c r="D95" s="31" t="s">
        <v>271</v>
      </c>
      <c r="E95" s="32" t="s">
        <v>237</v>
      </c>
      <c r="F95" s="33">
        <v>5000</v>
      </c>
      <c r="G95" s="34">
        <v>5030.58</v>
      </c>
      <c r="H95" s="34">
        <v>0.76</v>
      </c>
      <c r="I95" s="35">
        <v>8.1092999999999993</v>
      </c>
      <c r="J95" s="35"/>
      <c r="K95" s="36" t="s">
        <v>208</v>
      </c>
    </row>
    <row r="96" spans="2:11" x14ac:dyDescent="0.35">
      <c r="B96" s="1" t="s">
        <v>272</v>
      </c>
      <c r="C96" s="21" t="s">
        <v>273</v>
      </c>
      <c r="D96" s="31" t="s">
        <v>274</v>
      </c>
      <c r="E96" s="32" t="s">
        <v>275</v>
      </c>
      <c r="F96" s="33">
        <v>500</v>
      </c>
      <c r="G96" s="34">
        <v>5009.5</v>
      </c>
      <c r="H96" s="34">
        <v>0.76</v>
      </c>
      <c r="I96" s="35">
        <v>9.4673999999999996</v>
      </c>
      <c r="J96" s="35">
        <v>7.6564322894999997</v>
      </c>
      <c r="K96" s="36" t="s">
        <v>208</v>
      </c>
    </row>
    <row r="97" spans="2:11" x14ac:dyDescent="0.35">
      <c r="B97" s="1" t="s">
        <v>276</v>
      </c>
      <c r="C97" s="21" t="s">
        <v>277</v>
      </c>
      <c r="D97" s="31" t="s">
        <v>278</v>
      </c>
      <c r="E97" s="32" t="s">
        <v>218</v>
      </c>
      <c r="F97" s="33">
        <v>4000</v>
      </c>
      <c r="G97" s="34">
        <v>4010.11</v>
      </c>
      <c r="H97" s="34">
        <v>0.61</v>
      </c>
      <c r="I97" s="35">
        <v>8.9008000000000003</v>
      </c>
      <c r="J97" s="35"/>
      <c r="K97" s="36" t="s">
        <v>208</v>
      </c>
    </row>
    <row r="98" spans="2:11" x14ac:dyDescent="0.35">
      <c r="B98" s="1" t="s">
        <v>279</v>
      </c>
      <c r="C98" s="21" t="s">
        <v>280</v>
      </c>
      <c r="D98" s="31" t="s">
        <v>281</v>
      </c>
      <c r="E98" s="32" t="s">
        <v>265</v>
      </c>
      <c r="F98" s="33">
        <v>3000</v>
      </c>
      <c r="G98" s="34">
        <v>2998.59</v>
      </c>
      <c r="H98" s="34">
        <v>0.45</v>
      </c>
      <c r="I98" s="35">
        <v>10.3925</v>
      </c>
      <c r="J98" s="35"/>
      <c r="K98" s="36" t="s">
        <v>208</v>
      </c>
    </row>
    <row r="99" spans="2:11" x14ac:dyDescent="0.35">
      <c r="B99" s="1" t="s">
        <v>282</v>
      </c>
      <c r="C99" s="21" t="s">
        <v>283</v>
      </c>
      <c r="D99" s="31" t="s">
        <v>284</v>
      </c>
      <c r="E99" s="32" t="s">
        <v>237</v>
      </c>
      <c r="F99" s="33">
        <v>2500</v>
      </c>
      <c r="G99" s="34">
        <v>2552.6799999999998</v>
      </c>
      <c r="H99" s="34">
        <v>0.39</v>
      </c>
      <c r="I99" s="35">
        <v>7.9</v>
      </c>
      <c r="J99" s="35"/>
      <c r="K99" s="36" t="s">
        <v>208</v>
      </c>
    </row>
    <row r="100" spans="2:11" x14ac:dyDescent="0.35">
      <c r="B100" s="1" t="s">
        <v>285</v>
      </c>
      <c r="C100" s="21" t="s">
        <v>270</v>
      </c>
      <c r="D100" s="31" t="s">
        <v>286</v>
      </c>
      <c r="E100" s="32" t="s">
        <v>237</v>
      </c>
      <c r="F100" s="33">
        <v>2500</v>
      </c>
      <c r="G100" s="34">
        <v>2522.5100000000002</v>
      </c>
      <c r="H100" s="34">
        <v>0.38</v>
      </c>
      <c r="I100" s="35">
        <v>8.1342999999999996</v>
      </c>
      <c r="J100" s="35"/>
      <c r="K100" s="36" t="s">
        <v>208</v>
      </c>
    </row>
    <row r="101" spans="2:11" x14ac:dyDescent="0.35">
      <c r="B101" s="1" t="s">
        <v>287</v>
      </c>
      <c r="C101" s="21" t="s">
        <v>224</v>
      </c>
      <c r="D101" s="31" t="s">
        <v>288</v>
      </c>
      <c r="E101" s="32" t="s">
        <v>222</v>
      </c>
      <c r="F101" s="33">
        <v>2500</v>
      </c>
      <c r="G101" s="34">
        <v>2502.88</v>
      </c>
      <c r="H101" s="34">
        <v>0.38</v>
      </c>
      <c r="I101" s="35">
        <v>9.0103000000000009</v>
      </c>
      <c r="J101" s="35"/>
      <c r="K101" s="36" t="s">
        <v>208</v>
      </c>
    </row>
    <row r="102" spans="2:11" x14ac:dyDescent="0.35">
      <c r="B102" s="1" t="s">
        <v>289</v>
      </c>
      <c r="C102" s="21" t="s">
        <v>290</v>
      </c>
      <c r="D102" s="31" t="s">
        <v>291</v>
      </c>
      <c r="E102" s="32" t="s">
        <v>292</v>
      </c>
      <c r="F102" s="33">
        <v>250</v>
      </c>
      <c r="G102" s="34">
        <v>2481.08</v>
      </c>
      <c r="H102" s="34">
        <v>0.38</v>
      </c>
      <c r="I102" s="35">
        <v>7.7141999999999999</v>
      </c>
      <c r="J102" s="35"/>
      <c r="K102" s="36" t="s">
        <v>208</v>
      </c>
    </row>
    <row r="103" spans="2:11" x14ac:dyDescent="0.35">
      <c r="B103" s="1" t="s">
        <v>293</v>
      </c>
      <c r="C103" s="21" t="s">
        <v>277</v>
      </c>
      <c r="D103" s="31" t="s">
        <v>294</v>
      </c>
      <c r="E103" s="32" t="s">
        <v>261</v>
      </c>
      <c r="F103" s="33">
        <v>2400</v>
      </c>
      <c r="G103" s="34">
        <v>2405.1799999999998</v>
      </c>
      <c r="H103" s="34">
        <v>0.36</v>
      </c>
      <c r="I103" s="35">
        <v>9.2294</v>
      </c>
      <c r="J103" s="35"/>
      <c r="K103" s="36" t="s">
        <v>208</v>
      </c>
    </row>
    <row r="104" spans="2:11" x14ac:dyDescent="0.35">
      <c r="B104" s="1" t="s">
        <v>295</v>
      </c>
      <c r="C104" s="21" t="s">
        <v>296</v>
      </c>
      <c r="D104" s="31" t="s">
        <v>297</v>
      </c>
      <c r="E104" s="32" t="s">
        <v>249</v>
      </c>
      <c r="F104" s="33">
        <v>2300</v>
      </c>
      <c r="G104" s="34">
        <v>2305.04</v>
      </c>
      <c r="H104" s="34">
        <v>0.35</v>
      </c>
      <c r="I104" s="35">
        <v>8.2843</v>
      </c>
      <c r="J104" s="35"/>
      <c r="K104" s="36" t="s">
        <v>208</v>
      </c>
    </row>
    <row r="105" spans="2:11" x14ac:dyDescent="0.35">
      <c r="B105" s="1" t="s">
        <v>298</v>
      </c>
      <c r="C105" s="21" t="s">
        <v>231</v>
      </c>
      <c r="D105" s="31" t="s">
        <v>299</v>
      </c>
      <c r="E105" s="32" t="s">
        <v>233</v>
      </c>
      <c r="F105" s="33">
        <v>150</v>
      </c>
      <c r="G105" s="34">
        <v>1504.08</v>
      </c>
      <c r="H105" s="34">
        <v>0.23</v>
      </c>
      <c r="I105" s="35">
        <v>8.5</v>
      </c>
      <c r="J105" s="35"/>
      <c r="K105" s="36" t="s">
        <v>208</v>
      </c>
    </row>
    <row r="106" spans="2:11" x14ac:dyDescent="0.35">
      <c r="B106" s="1" t="s">
        <v>300</v>
      </c>
      <c r="C106" s="21" t="s">
        <v>256</v>
      </c>
      <c r="D106" s="31" t="s">
        <v>301</v>
      </c>
      <c r="E106" s="32" t="s">
        <v>233</v>
      </c>
      <c r="F106" s="33">
        <v>1500</v>
      </c>
      <c r="G106" s="34">
        <v>1497.24</v>
      </c>
      <c r="H106" s="34">
        <v>0.23</v>
      </c>
      <c r="I106" s="35">
        <v>8.6052</v>
      </c>
      <c r="J106" s="35"/>
      <c r="K106" s="36" t="s">
        <v>208</v>
      </c>
    </row>
    <row r="107" spans="2:11" x14ac:dyDescent="0.35">
      <c r="C107" s="30" t="s">
        <v>190</v>
      </c>
      <c r="D107" s="31"/>
      <c r="E107" s="32"/>
      <c r="F107" s="33"/>
      <c r="G107" s="38">
        <v>200213.95</v>
      </c>
      <c r="H107" s="38">
        <v>30.36</v>
      </c>
      <c r="I107" s="35"/>
      <c r="J107" s="35"/>
      <c r="K107" s="36"/>
    </row>
    <row r="108" spans="2:11" x14ac:dyDescent="0.35">
      <c r="C108" s="21"/>
      <c r="D108" s="31"/>
      <c r="E108" s="32"/>
      <c r="F108" s="33"/>
      <c r="G108" s="34"/>
      <c r="H108" s="34"/>
      <c r="I108" s="35"/>
      <c r="J108" s="35"/>
      <c r="K108" s="36"/>
    </row>
    <row r="109" spans="2:11" x14ac:dyDescent="0.35">
      <c r="C109" s="30" t="s">
        <v>302</v>
      </c>
      <c r="D109" s="31"/>
      <c r="E109" s="32"/>
      <c r="F109" s="33"/>
      <c r="G109" s="34" t="s">
        <v>192</v>
      </c>
      <c r="H109" s="34" t="s">
        <v>192</v>
      </c>
      <c r="I109" s="35"/>
      <c r="J109" s="35"/>
      <c r="K109" s="36"/>
    </row>
    <row r="110" spans="2:11" x14ac:dyDescent="0.35">
      <c r="C110" s="21"/>
      <c r="D110" s="31"/>
      <c r="E110" s="32"/>
      <c r="F110" s="33"/>
      <c r="G110" s="34"/>
      <c r="H110" s="34"/>
      <c r="I110" s="35"/>
      <c r="J110" s="35"/>
      <c r="K110" s="36"/>
    </row>
    <row r="111" spans="2:11" x14ac:dyDescent="0.35">
      <c r="C111" s="30" t="s">
        <v>303</v>
      </c>
      <c r="D111" s="31"/>
      <c r="E111" s="32"/>
      <c r="F111" s="33"/>
      <c r="G111" s="34" t="s">
        <v>192</v>
      </c>
      <c r="H111" s="34" t="s">
        <v>192</v>
      </c>
      <c r="I111" s="35"/>
      <c r="J111" s="35"/>
      <c r="K111" s="36"/>
    </row>
    <row r="112" spans="2:11" x14ac:dyDescent="0.35">
      <c r="C112" s="21"/>
      <c r="D112" s="31"/>
      <c r="E112" s="32"/>
      <c r="F112" s="33"/>
      <c r="G112" s="34"/>
      <c r="H112" s="34"/>
      <c r="I112" s="35"/>
      <c r="J112" s="35"/>
      <c r="K112" s="36"/>
    </row>
    <row r="113" spans="2:11" x14ac:dyDescent="0.35">
      <c r="C113" s="37" t="s">
        <v>304</v>
      </c>
      <c r="D113" s="31"/>
      <c r="E113" s="32"/>
      <c r="F113" s="33"/>
      <c r="G113" s="34"/>
      <c r="H113" s="34"/>
      <c r="I113" s="35"/>
      <c r="J113" s="35"/>
      <c r="K113" s="36"/>
    </row>
    <row r="114" spans="2:11" x14ac:dyDescent="0.35">
      <c r="B114" s="1" t="s">
        <v>305</v>
      </c>
      <c r="C114" s="21" t="s">
        <v>306</v>
      </c>
      <c r="D114" s="31" t="s">
        <v>307</v>
      </c>
      <c r="E114" s="32" t="s">
        <v>308</v>
      </c>
      <c r="F114" s="33">
        <v>20000000</v>
      </c>
      <c r="G114" s="34">
        <v>20802.400000000001</v>
      </c>
      <c r="H114" s="34">
        <v>3.16</v>
      </c>
      <c r="I114" s="35">
        <v>7.0950870999999998</v>
      </c>
      <c r="J114" s="35"/>
      <c r="K114" s="36"/>
    </row>
    <row r="115" spans="2:11" x14ac:dyDescent="0.35">
      <c r="B115" s="1" t="s">
        <v>309</v>
      </c>
      <c r="C115" s="21" t="s">
        <v>310</v>
      </c>
      <c r="D115" s="31" t="s">
        <v>311</v>
      </c>
      <c r="E115" s="32" t="s">
        <v>308</v>
      </c>
      <c r="F115" s="33">
        <v>10000000</v>
      </c>
      <c r="G115" s="34">
        <v>10209.73</v>
      </c>
      <c r="H115" s="34">
        <v>1.55</v>
      </c>
      <c r="I115" s="35">
        <v>6.9735059000000001</v>
      </c>
      <c r="J115" s="35"/>
      <c r="K115" s="36"/>
    </row>
    <row r="116" spans="2:11" x14ac:dyDescent="0.35">
      <c r="B116" s="1" t="s">
        <v>312</v>
      </c>
      <c r="C116" s="21" t="s">
        <v>313</v>
      </c>
      <c r="D116" s="31" t="s">
        <v>314</v>
      </c>
      <c r="E116" s="32" t="s">
        <v>308</v>
      </c>
      <c r="F116" s="33">
        <v>10000000</v>
      </c>
      <c r="G116" s="34">
        <v>10177.530000000001</v>
      </c>
      <c r="H116" s="34">
        <v>1.54</v>
      </c>
      <c r="I116" s="35">
        <v>6.9575923</v>
      </c>
      <c r="J116" s="35"/>
      <c r="K116" s="36"/>
    </row>
    <row r="117" spans="2:11" x14ac:dyDescent="0.35">
      <c r="B117" s="1" t="s">
        <v>315</v>
      </c>
      <c r="C117" s="21" t="s">
        <v>316</v>
      </c>
      <c r="D117" s="31" t="s">
        <v>317</v>
      </c>
      <c r="E117" s="32" t="s">
        <v>308</v>
      </c>
      <c r="F117" s="33">
        <v>1000000</v>
      </c>
      <c r="G117" s="34">
        <v>1009.21</v>
      </c>
      <c r="H117" s="34">
        <v>0.15</v>
      </c>
      <c r="I117" s="35">
        <v>6.8678498000000001</v>
      </c>
      <c r="J117" s="35"/>
      <c r="K117" s="36"/>
    </row>
    <row r="118" spans="2:11" x14ac:dyDescent="0.35">
      <c r="C118" s="30" t="s">
        <v>190</v>
      </c>
      <c r="D118" s="31"/>
      <c r="E118" s="32"/>
      <c r="F118" s="33"/>
      <c r="G118" s="38">
        <v>42198.87</v>
      </c>
      <c r="H118" s="38">
        <v>6.4</v>
      </c>
      <c r="I118" s="35"/>
      <c r="J118" s="35"/>
      <c r="K118" s="36"/>
    </row>
    <row r="119" spans="2:11" x14ac:dyDescent="0.35">
      <c r="C119" s="21"/>
      <c r="D119" s="31"/>
      <c r="E119" s="32"/>
      <c r="F119" s="33"/>
      <c r="G119" s="34"/>
      <c r="H119" s="34"/>
      <c r="I119" s="35"/>
      <c r="J119" s="35"/>
      <c r="K119" s="36"/>
    </row>
    <row r="120" spans="2:11" x14ac:dyDescent="0.35">
      <c r="C120" s="30" t="s">
        <v>318</v>
      </c>
      <c r="D120" s="31"/>
      <c r="E120" s="32"/>
      <c r="F120" s="33"/>
      <c r="G120" s="34" t="s">
        <v>192</v>
      </c>
      <c r="H120" s="34" t="s">
        <v>192</v>
      </c>
      <c r="I120" s="35"/>
      <c r="J120" s="35"/>
      <c r="K120" s="36"/>
    </row>
    <row r="121" spans="2:11" x14ac:dyDescent="0.35">
      <c r="C121" s="21"/>
      <c r="D121" s="31"/>
      <c r="E121" s="32"/>
      <c r="F121" s="33"/>
      <c r="G121" s="34"/>
      <c r="H121" s="34"/>
      <c r="I121" s="35"/>
      <c r="J121" s="35"/>
      <c r="K121" s="36"/>
    </row>
    <row r="122" spans="2:11" x14ac:dyDescent="0.35">
      <c r="C122" s="30" t="s">
        <v>319</v>
      </c>
      <c r="D122" s="31"/>
      <c r="E122" s="32"/>
      <c r="F122" s="33"/>
      <c r="G122" s="34"/>
      <c r="H122" s="34"/>
      <c r="I122" s="35"/>
      <c r="J122" s="35"/>
      <c r="K122" s="36"/>
    </row>
    <row r="123" spans="2:11" x14ac:dyDescent="0.35">
      <c r="C123" s="21"/>
      <c r="D123" s="31"/>
      <c r="E123" s="32"/>
      <c r="F123" s="33"/>
      <c r="G123" s="34"/>
      <c r="H123" s="34"/>
      <c r="I123" s="35"/>
      <c r="J123" s="35"/>
      <c r="K123" s="36"/>
    </row>
    <row r="124" spans="2:11" x14ac:dyDescent="0.35">
      <c r="C124" s="30" t="s">
        <v>320</v>
      </c>
      <c r="D124" s="31"/>
      <c r="E124" s="32"/>
      <c r="F124" s="33"/>
      <c r="G124" s="34" t="s">
        <v>192</v>
      </c>
      <c r="H124" s="34" t="s">
        <v>192</v>
      </c>
      <c r="I124" s="35"/>
      <c r="J124" s="35"/>
      <c r="K124" s="36"/>
    </row>
    <row r="125" spans="2:11" x14ac:dyDescent="0.35">
      <c r="C125" s="21"/>
      <c r="D125" s="31"/>
      <c r="E125" s="32"/>
      <c r="F125" s="33"/>
      <c r="G125" s="34"/>
      <c r="H125" s="34"/>
      <c r="I125" s="35"/>
      <c r="J125" s="35"/>
      <c r="K125" s="36"/>
    </row>
    <row r="126" spans="2:11" x14ac:dyDescent="0.35">
      <c r="C126" s="30" t="s">
        <v>321</v>
      </c>
      <c r="D126" s="31"/>
      <c r="E126" s="32"/>
      <c r="F126" s="33"/>
      <c r="G126" s="34" t="s">
        <v>192</v>
      </c>
      <c r="H126" s="34" t="s">
        <v>192</v>
      </c>
      <c r="I126" s="35"/>
      <c r="J126" s="35"/>
      <c r="K126" s="36"/>
    </row>
    <row r="127" spans="2:11" x14ac:dyDescent="0.35">
      <c r="C127" s="21"/>
      <c r="D127" s="31"/>
      <c r="E127" s="32"/>
      <c r="F127" s="33"/>
      <c r="G127" s="34"/>
      <c r="H127" s="34"/>
      <c r="I127" s="35"/>
      <c r="J127" s="35"/>
      <c r="K127" s="36"/>
    </row>
    <row r="128" spans="2:11" x14ac:dyDescent="0.35">
      <c r="C128" s="30" t="s">
        <v>322</v>
      </c>
      <c r="D128" s="31"/>
      <c r="E128" s="32"/>
      <c r="F128" s="33"/>
      <c r="G128" s="34" t="s">
        <v>192</v>
      </c>
      <c r="H128" s="34" t="s">
        <v>192</v>
      </c>
      <c r="I128" s="35"/>
      <c r="J128" s="35"/>
      <c r="K128" s="36"/>
    </row>
    <row r="129" spans="1:11" x14ac:dyDescent="0.35">
      <c r="C129" s="21"/>
      <c r="D129" s="31"/>
      <c r="E129" s="32"/>
      <c r="F129" s="33"/>
      <c r="G129" s="34"/>
      <c r="H129" s="34"/>
      <c r="I129" s="35"/>
      <c r="J129" s="35"/>
      <c r="K129" s="36"/>
    </row>
    <row r="130" spans="1:11" x14ac:dyDescent="0.35">
      <c r="C130" s="30" t="s">
        <v>323</v>
      </c>
      <c r="D130" s="31"/>
      <c r="E130" s="32"/>
      <c r="F130" s="33"/>
      <c r="G130" s="34" t="s">
        <v>192</v>
      </c>
      <c r="H130" s="34" t="s">
        <v>192</v>
      </c>
      <c r="I130" s="35"/>
      <c r="J130" s="35"/>
      <c r="K130" s="36"/>
    </row>
    <row r="131" spans="1:11" x14ac:dyDescent="0.35">
      <c r="C131" s="21"/>
      <c r="D131" s="31"/>
      <c r="E131" s="32"/>
      <c r="F131" s="33"/>
      <c r="G131" s="34"/>
      <c r="H131" s="34"/>
      <c r="I131" s="35"/>
      <c r="J131" s="35"/>
      <c r="K131" s="36"/>
    </row>
    <row r="132" spans="1:11" x14ac:dyDescent="0.35">
      <c r="C132" s="30" t="s">
        <v>324</v>
      </c>
      <c r="D132" s="31"/>
      <c r="E132" s="32"/>
      <c r="F132" s="33"/>
      <c r="G132" s="34" t="s">
        <v>192</v>
      </c>
      <c r="H132" s="34" t="s">
        <v>192</v>
      </c>
      <c r="I132" s="35"/>
      <c r="J132" s="35"/>
      <c r="K132" s="36"/>
    </row>
    <row r="133" spans="1:11" x14ac:dyDescent="0.35">
      <c r="C133" s="21"/>
      <c r="D133" s="31"/>
      <c r="E133" s="32"/>
      <c r="F133" s="33"/>
      <c r="G133" s="34"/>
      <c r="H133" s="34"/>
      <c r="I133" s="35"/>
      <c r="J133" s="35"/>
      <c r="K133" s="36"/>
    </row>
    <row r="134" spans="1:11" x14ac:dyDescent="0.35">
      <c r="A134" s="28"/>
      <c r="B134" s="29"/>
      <c r="C134" s="30" t="s">
        <v>325</v>
      </c>
      <c r="D134" s="31"/>
      <c r="E134" s="32"/>
      <c r="F134" s="33"/>
      <c r="G134" s="34"/>
      <c r="H134" s="34"/>
      <c r="I134" s="35"/>
      <c r="J134" s="35"/>
      <c r="K134" s="36"/>
    </row>
    <row r="135" spans="1:11" x14ac:dyDescent="0.35">
      <c r="C135" s="37" t="s">
        <v>326</v>
      </c>
      <c r="D135" s="31"/>
      <c r="E135" s="32"/>
      <c r="F135" s="33"/>
      <c r="G135" s="34"/>
      <c r="H135" s="34"/>
      <c r="I135" s="35"/>
      <c r="J135" s="35"/>
      <c r="K135" s="36"/>
    </row>
    <row r="136" spans="1:11" x14ac:dyDescent="0.35">
      <c r="B136" s="1" t="s">
        <v>327</v>
      </c>
      <c r="C136" s="21" t="s">
        <v>328</v>
      </c>
      <c r="D136" s="31" t="s">
        <v>329</v>
      </c>
      <c r="E136" s="32" t="s">
        <v>76</v>
      </c>
      <c r="F136" s="33">
        <v>103241000</v>
      </c>
      <c r="G136" s="34">
        <v>71102.080000000002</v>
      </c>
      <c r="H136" s="34">
        <v>10.79</v>
      </c>
      <c r="I136" s="35"/>
      <c r="J136" s="35"/>
      <c r="K136" s="36"/>
    </row>
    <row r="137" spans="1:11" x14ac:dyDescent="0.35">
      <c r="B137" s="1" t="s">
        <v>330</v>
      </c>
      <c r="C137" s="21" t="s">
        <v>331</v>
      </c>
      <c r="D137" s="31" t="s">
        <v>332</v>
      </c>
      <c r="E137" s="32" t="s">
        <v>76</v>
      </c>
      <c r="F137" s="33">
        <v>26730000</v>
      </c>
      <c r="G137" s="34">
        <v>25198.37</v>
      </c>
      <c r="H137" s="34">
        <v>3.82</v>
      </c>
      <c r="I137" s="35"/>
      <c r="J137" s="35"/>
      <c r="K137" s="36"/>
    </row>
    <row r="138" spans="1:11" x14ac:dyDescent="0.35">
      <c r="B138" s="1" t="s">
        <v>333</v>
      </c>
      <c r="C138" s="21" t="s">
        <v>334</v>
      </c>
      <c r="D138" s="31" t="s">
        <v>335</v>
      </c>
      <c r="E138" s="32" t="s">
        <v>76</v>
      </c>
      <c r="F138" s="33">
        <v>19500000</v>
      </c>
      <c r="G138" s="34">
        <v>18760.95</v>
      </c>
      <c r="H138" s="34">
        <v>2.85</v>
      </c>
      <c r="I138" s="35"/>
      <c r="J138" s="35"/>
      <c r="K138" s="36"/>
    </row>
    <row r="139" spans="1:11" x14ac:dyDescent="0.35">
      <c r="C139" s="30" t="s">
        <v>190</v>
      </c>
      <c r="D139" s="31"/>
      <c r="E139" s="32"/>
      <c r="F139" s="33"/>
      <c r="G139" s="38">
        <v>115061.4</v>
      </c>
      <c r="H139" s="38">
        <v>17.46</v>
      </c>
      <c r="I139" s="35"/>
      <c r="J139" s="35"/>
      <c r="K139" s="36"/>
    </row>
    <row r="140" spans="1:11" x14ac:dyDescent="0.35">
      <c r="C140" s="21"/>
      <c r="D140" s="31"/>
      <c r="E140" s="32"/>
      <c r="F140" s="33"/>
      <c r="G140" s="34"/>
      <c r="H140" s="34"/>
      <c r="I140" s="35"/>
      <c r="J140" s="35"/>
      <c r="K140" s="36"/>
    </row>
    <row r="141" spans="1:11" x14ac:dyDescent="0.35">
      <c r="C141" s="30" t="s">
        <v>336</v>
      </c>
      <c r="D141" s="31"/>
      <c r="E141" s="32"/>
      <c r="F141" s="33"/>
      <c r="G141" s="34" t="s">
        <v>192</v>
      </c>
      <c r="H141" s="34" t="s">
        <v>192</v>
      </c>
      <c r="I141" s="35"/>
      <c r="J141" s="35"/>
      <c r="K141" s="36"/>
    </row>
    <row r="142" spans="1:11" x14ac:dyDescent="0.35">
      <c r="C142" s="21"/>
      <c r="D142" s="31"/>
      <c r="E142" s="32"/>
      <c r="F142" s="33"/>
      <c r="G142" s="34"/>
      <c r="H142" s="34"/>
      <c r="I142" s="35"/>
      <c r="J142" s="35"/>
      <c r="K142" s="36"/>
    </row>
    <row r="143" spans="1:11" x14ac:dyDescent="0.35">
      <c r="C143" s="30" t="s">
        <v>337</v>
      </c>
      <c r="D143" s="31"/>
      <c r="E143" s="32"/>
      <c r="F143" s="33"/>
      <c r="G143" s="34" t="s">
        <v>192</v>
      </c>
      <c r="H143" s="34" t="s">
        <v>192</v>
      </c>
      <c r="I143" s="35"/>
      <c r="J143" s="35"/>
      <c r="K143" s="36"/>
    </row>
    <row r="144" spans="1:11" x14ac:dyDescent="0.35">
      <c r="C144" s="21"/>
      <c r="D144" s="31"/>
      <c r="E144" s="32"/>
      <c r="F144" s="33"/>
      <c r="G144" s="34"/>
      <c r="H144" s="34"/>
      <c r="I144" s="35"/>
      <c r="J144" s="35"/>
      <c r="K144" s="36"/>
    </row>
    <row r="145" spans="1:54" x14ac:dyDescent="0.35">
      <c r="C145" s="30" t="s">
        <v>338</v>
      </c>
      <c r="D145" s="31"/>
      <c r="E145" s="32"/>
      <c r="F145" s="33"/>
      <c r="G145" s="34" t="s">
        <v>192</v>
      </c>
      <c r="H145" s="34" t="s">
        <v>192</v>
      </c>
      <c r="I145" s="35"/>
      <c r="J145" s="35"/>
      <c r="K145" s="36"/>
    </row>
    <row r="146" spans="1:54" x14ac:dyDescent="0.35">
      <c r="C146" s="21"/>
      <c r="D146" s="31"/>
      <c r="E146" s="32"/>
      <c r="F146" s="33"/>
      <c r="G146" s="34"/>
      <c r="H146" s="34"/>
      <c r="I146" s="35"/>
      <c r="J146" s="35"/>
      <c r="K146" s="36"/>
    </row>
    <row r="147" spans="1:54" x14ac:dyDescent="0.35">
      <c r="C147" s="30" t="s">
        <v>339</v>
      </c>
      <c r="D147" s="31"/>
      <c r="E147" s="32"/>
      <c r="F147" s="33"/>
      <c r="G147" s="34" t="s">
        <v>192</v>
      </c>
      <c r="H147" s="34" t="s">
        <v>192</v>
      </c>
      <c r="I147" s="35"/>
      <c r="J147" s="35"/>
      <c r="K147" s="36"/>
    </row>
    <row r="148" spans="1:54" x14ac:dyDescent="0.35">
      <c r="C148" s="21"/>
      <c r="D148" s="31"/>
      <c r="E148" s="32"/>
      <c r="F148" s="33"/>
      <c r="G148" s="34"/>
      <c r="H148" s="34"/>
      <c r="I148" s="35"/>
      <c r="J148" s="35"/>
      <c r="K148" s="36"/>
    </row>
    <row r="149" spans="1:54" x14ac:dyDescent="0.35">
      <c r="C149" s="37" t="s">
        <v>340</v>
      </c>
      <c r="D149" s="31"/>
      <c r="E149" s="32"/>
      <c r="F149" s="33"/>
      <c r="G149" s="34"/>
      <c r="H149" s="34"/>
      <c r="I149" s="35"/>
      <c r="J149" s="35"/>
      <c r="K149" s="36"/>
    </row>
    <row r="150" spans="1:54" x14ac:dyDescent="0.35">
      <c r="B150" s="1" t="s">
        <v>341</v>
      </c>
      <c r="C150" s="21" t="s">
        <v>342</v>
      </c>
      <c r="D150" s="31"/>
      <c r="E150" s="32"/>
      <c r="F150" s="33"/>
      <c r="G150" s="34">
        <v>37140.519999999997</v>
      </c>
      <c r="H150" s="34">
        <v>5.64</v>
      </c>
      <c r="I150" s="35"/>
      <c r="J150" s="35"/>
      <c r="K150" s="36"/>
    </row>
    <row r="151" spans="1:54" x14ac:dyDescent="0.35">
      <c r="C151" s="30" t="s">
        <v>190</v>
      </c>
      <c r="D151" s="31"/>
      <c r="E151" s="32"/>
      <c r="F151" s="33"/>
      <c r="G151" s="38">
        <v>37140.519999999997</v>
      </c>
      <c r="H151" s="38">
        <v>5.64</v>
      </c>
      <c r="I151" s="35"/>
      <c r="J151" s="35"/>
      <c r="K151" s="36"/>
    </row>
    <row r="152" spans="1:54" x14ac:dyDescent="0.35">
      <c r="C152" s="21"/>
      <c r="D152" s="31"/>
      <c r="E152" s="32"/>
      <c r="F152" s="33"/>
      <c r="G152" s="34"/>
      <c r="H152" s="34"/>
      <c r="I152" s="35"/>
      <c r="J152" s="35"/>
      <c r="K152" s="36"/>
    </row>
    <row r="153" spans="1:54" x14ac:dyDescent="0.35">
      <c r="A153" s="28"/>
      <c r="B153" s="29"/>
      <c r="C153" s="30" t="s">
        <v>343</v>
      </c>
      <c r="D153" s="31"/>
      <c r="E153" s="32"/>
      <c r="F153" s="33"/>
      <c r="G153" s="34"/>
      <c r="H153" s="34"/>
      <c r="I153" s="35"/>
      <c r="J153" s="35"/>
      <c r="K153" s="36"/>
    </row>
    <row r="154" spans="1:54" s="2" customFormat="1" ht="13.5" x14ac:dyDescent="0.35">
      <c r="A154" s="29"/>
      <c r="B154" s="29"/>
      <c r="C154" s="21" t="s">
        <v>344</v>
      </c>
      <c r="D154" s="31"/>
      <c r="E154" s="32"/>
      <c r="F154" s="33"/>
      <c r="G154" s="34" t="s">
        <v>192</v>
      </c>
      <c r="H154" s="34" t="s">
        <v>192</v>
      </c>
      <c r="I154" s="35"/>
      <c r="J154" s="35"/>
      <c r="K154" s="36"/>
      <c r="L154" s="10"/>
      <c r="AI154" s="10"/>
      <c r="AV154" s="10"/>
      <c r="AX154" s="10"/>
      <c r="BB154" s="10"/>
    </row>
    <row r="155" spans="1:54" x14ac:dyDescent="0.35">
      <c r="B155" s="1"/>
      <c r="C155" s="21" t="s">
        <v>345</v>
      </c>
      <c r="D155" s="31"/>
      <c r="E155" s="32"/>
      <c r="F155" s="33"/>
      <c r="G155" s="34">
        <v>6814.47</v>
      </c>
      <c r="H155" s="34">
        <v>1.05</v>
      </c>
      <c r="I155" s="35"/>
      <c r="J155" s="35"/>
      <c r="K155" s="36"/>
    </row>
    <row r="156" spans="1:54" x14ac:dyDescent="0.35">
      <c r="C156" s="30" t="s">
        <v>190</v>
      </c>
      <c r="D156" s="31"/>
      <c r="E156" s="32"/>
      <c r="F156" s="33"/>
      <c r="G156" s="38">
        <v>6814.47</v>
      </c>
      <c r="H156" s="38">
        <v>1.05</v>
      </c>
      <c r="I156" s="35"/>
      <c r="J156" s="35"/>
      <c r="K156" s="36"/>
    </row>
    <row r="157" spans="1:54" x14ac:dyDescent="0.35">
      <c r="C157" s="21"/>
      <c r="D157" s="31"/>
      <c r="E157" s="32"/>
      <c r="F157" s="33"/>
      <c r="G157" s="34"/>
      <c r="H157" s="34"/>
      <c r="I157" s="35"/>
      <c r="J157" s="35"/>
      <c r="K157" s="36"/>
    </row>
    <row r="158" spans="1:54" ht="15" thickBot="1" x14ac:dyDescent="0.4">
      <c r="C158" s="39" t="s">
        <v>346</v>
      </c>
      <c r="D158" s="40"/>
      <c r="E158" s="41"/>
      <c r="F158" s="42"/>
      <c r="G158" s="43">
        <v>659055.38</v>
      </c>
      <c r="H158" s="43">
        <v>100</v>
      </c>
      <c r="I158" s="44"/>
      <c r="J158" s="44"/>
      <c r="K158" s="45"/>
    </row>
    <row r="161" spans="3:11" x14ac:dyDescent="0.35">
      <c r="C161" s="11" t="s">
        <v>347</v>
      </c>
    </row>
    <row r="162" spans="3:11" x14ac:dyDescent="0.35">
      <c r="C162" s="46" t="s">
        <v>348</v>
      </c>
      <c r="D162" s="46"/>
      <c r="E162" s="46"/>
      <c r="F162" s="46"/>
      <c r="G162" s="46"/>
      <c r="H162" s="46"/>
      <c r="I162" s="46"/>
      <c r="J162" s="46"/>
      <c r="K162" s="46"/>
    </row>
    <row r="163" spans="3:11" x14ac:dyDescent="0.35">
      <c r="C163" s="2" t="s">
        <v>349</v>
      </c>
    </row>
    <row r="164" spans="3:11" x14ac:dyDescent="0.35">
      <c r="C164" s="2" t="s">
        <v>350</v>
      </c>
    </row>
    <row r="165" spans="3:11" ht="30" customHeight="1" x14ac:dyDescent="0.35">
      <c r="C165" s="47" t="s">
        <v>351</v>
      </c>
      <c r="D165" s="47"/>
      <c r="E165" s="47"/>
      <c r="F165" s="47"/>
      <c r="G165" s="47"/>
      <c r="H165" s="47"/>
      <c r="I165" s="47"/>
      <c r="J165" s="47"/>
      <c r="K165" s="47"/>
    </row>
    <row r="166" spans="3:11" x14ac:dyDescent="0.35">
      <c r="C166" s="2" t="s">
        <v>352</v>
      </c>
    </row>
    <row r="167" spans="3:11" ht="40.5" customHeight="1" x14ac:dyDescent="0.35">
      <c r="C167" s="48" t="s">
        <v>353</v>
      </c>
      <c r="D167" s="48"/>
      <c r="E167" s="48"/>
      <c r="F167" s="48"/>
      <c r="G167" s="48"/>
      <c r="H167" s="48"/>
      <c r="I167" s="48"/>
      <c r="J167" s="48"/>
      <c r="K167" s="48"/>
    </row>
    <row r="169" spans="3:11" x14ac:dyDescent="0.35">
      <c r="C169" s="49" t="s">
        <v>354</v>
      </c>
      <c r="E169" s="49" t="s">
        <v>355</v>
      </c>
      <c r="F169" s="50"/>
    </row>
    <row r="170" spans="3:11" x14ac:dyDescent="0.35">
      <c r="E170" s="2" t="s">
        <v>356</v>
      </c>
    </row>
  </sheetData>
  <mergeCells count="2">
    <mergeCell ref="C165:K165"/>
    <mergeCell ref="C167:K167"/>
  </mergeCells>
  <hyperlinks>
    <hyperlink ref="J2" location="'Index'!A1" display="'Index'!A1" xr:uid="{BA2DBA4C-FD8C-4E86-B774-AD296119B71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SMAAF</vt:lpstr>
      <vt:lpstr>XDO_?CLASS_3?35?</vt:lpstr>
      <vt:lpstr>XDO_?FINAL_ISIN?143?</vt:lpstr>
      <vt:lpstr>XDO_?FINAL_ISIN?144?</vt:lpstr>
      <vt:lpstr>XDO_?FINAL_ISIN?145?</vt:lpstr>
      <vt:lpstr>XDO_?FINAL_ISIN?146?</vt:lpstr>
      <vt:lpstr>XDO_?FINAL_ISIN?147?</vt:lpstr>
      <vt:lpstr>XDO_?FINAL_ISIN?148?</vt:lpstr>
      <vt:lpstr>XDO_?FINAL_ISIN?149?</vt:lpstr>
      <vt:lpstr>XDO_?FINAL_ISIN?150?</vt:lpstr>
      <vt:lpstr>XDO_?FINAL_MV?143?</vt:lpstr>
      <vt:lpstr>XDO_?FINAL_MV?144?</vt:lpstr>
      <vt:lpstr>XDO_?FINAL_MV?145?</vt:lpstr>
      <vt:lpstr>XDO_?FINAL_MV?146?</vt:lpstr>
      <vt:lpstr>XDO_?FINAL_MV?147?</vt:lpstr>
      <vt:lpstr>XDO_?FINAL_MV?148?</vt:lpstr>
      <vt:lpstr>XDO_?FINAL_MV?149?</vt:lpstr>
      <vt:lpstr>XDO_?FINAL_MV?150?</vt:lpstr>
      <vt:lpstr>XDO_?FINAL_NAME?143?</vt:lpstr>
      <vt:lpstr>XDO_?FINAL_NAME?144?</vt:lpstr>
      <vt:lpstr>XDO_?FINAL_NAME?145?</vt:lpstr>
      <vt:lpstr>XDO_?FINAL_NAME?146?</vt:lpstr>
      <vt:lpstr>XDO_?FINAL_NAME?147?</vt:lpstr>
      <vt:lpstr>XDO_?FINAL_NAME?148?</vt:lpstr>
      <vt:lpstr>XDO_?FINAL_NAME?149?</vt:lpstr>
      <vt:lpstr>XDO_?FINAL_NAME?150?</vt:lpstr>
      <vt:lpstr>XDO_?FINAL_PER_NET?143?</vt:lpstr>
      <vt:lpstr>XDO_?FINAL_PER_NET?144?</vt:lpstr>
      <vt:lpstr>XDO_?FINAL_PER_NET?145?</vt:lpstr>
      <vt:lpstr>XDO_?FINAL_PER_NET?146?</vt:lpstr>
      <vt:lpstr>XDO_?FINAL_PER_NET?147?</vt:lpstr>
      <vt:lpstr>XDO_?FINAL_PER_NET?148?</vt:lpstr>
      <vt:lpstr>XDO_?FINAL_PER_NET?149?</vt:lpstr>
      <vt:lpstr>XDO_?FINAL_PER_NET?150?</vt:lpstr>
      <vt:lpstr>XDO_?FINAL_QUANTITE?143?</vt:lpstr>
      <vt:lpstr>XDO_?FINAL_QUANTITE?144?</vt:lpstr>
      <vt:lpstr>XDO_?FINAL_QUANTITE?145?</vt:lpstr>
      <vt:lpstr>XDO_?FINAL_QUANTITE?146?</vt:lpstr>
      <vt:lpstr>XDO_?FINAL_QUANTITE?147?</vt:lpstr>
      <vt:lpstr>XDO_?FINAL_QUANTITE?148?</vt:lpstr>
      <vt:lpstr>XDO_?FINAL_QUANTITE?149?</vt:lpstr>
      <vt:lpstr>XDO_?FINAL_QUANTITE?150?</vt:lpstr>
      <vt:lpstr>XDO_?NAMCNAME?35?</vt:lpstr>
      <vt:lpstr>XDO_?NOVAL?143?</vt:lpstr>
      <vt:lpstr>XDO_?NOVAL?144?</vt:lpstr>
      <vt:lpstr>XDO_?NOVAL?145?</vt:lpstr>
      <vt:lpstr>XDO_?NOVAL?146?</vt:lpstr>
      <vt:lpstr>XDO_?NOVAL?147?</vt:lpstr>
      <vt:lpstr>XDO_?NOVAL?148?</vt:lpstr>
      <vt:lpstr>XDO_?NOVAL?149?</vt:lpstr>
      <vt:lpstr>XDO_?NOVAL?150?</vt:lpstr>
      <vt:lpstr>XDO_?NPTF?35?</vt:lpstr>
      <vt:lpstr>XDO_?RATING?143?</vt:lpstr>
      <vt:lpstr>XDO_?RATING?144?</vt:lpstr>
      <vt:lpstr>XDO_?RATING?145?</vt:lpstr>
      <vt:lpstr>XDO_?RATING?146?</vt:lpstr>
      <vt:lpstr>XDO_?RATING?147?</vt:lpstr>
      <vt:lpstr>XDO_?RATING?148?</vt:lpstr>
      <vt:lpstr>XDO_?RATING?149?</vt:lpstr>
      <vt:lpstr>XDO_?RATING?150?</vt:lpstr>
      <vt:lpstr>XDO_?REMARKS?143?</vt:lpstr>
      <vt:lpstr>XDO_?REMARKS?144?</vt:lpstr>
      <vt:lpstr>XDO_?REMARKS?145?</vt:lpstr>
      <vt:lpstr>XDO_?REMARKS?146?</vt:lpstr>
      <vt:lpstr>XDO_?REMARKS?147?</vt:lpstr>
      <vt:lpstr>XDO_?REMARKS?148?</vt:lpstr>
      <vt:lpstr>XDO_?REMARKS?149?</vt:lpstr>
      <vt:lpstr>XDO_?REMARKS?150?</vt:lpstr>
      <vt:lpstr>XDO_?TITL?35?</vt:lpstr>
      <vt:lpstr>XDO_?YTM?143?</vt:lpstr>
      <vt:lpstr>XDO_?YTM?144?</vt:lpstr>
      <vt:lpstr>XDO_?YTM?145?</vt:lpstr>
      <vt:lpstr>XDO_?YTM?146?</vt:lpstr>
      <vt:lpstr>XDO_?YTM?147?</vt:lpstr>
      <vt:lpstr>XDO_?YTM?148?</vt:lpstr>
      <vt:lpstr>XDO_?YTM?149?</vt:lpstr>
      <vt:lpstr>XDO_?YTM?150?</vt:lpstr>
      <vt:lpstr>XDO_GROUP_?G_2?35?</vt:lpstr>
      <vt:lpstr>XDO_GROUP_?G_3?35?</vt:lpstr>
      <vt:lpstr>XDO_GROUP_?G_4?143?</vt:lpstr>
      <vt:lpstr>XDO_GROUP_?G_4?144?</vt:lpstr>
      <vt:lpstr>XDO_GROUP_?G_4?145?</vt:lpstr>
      <vt:lpstr>XDO_GROUP_?G_4?146?</vt:lpstr>
      <vt:lpstr>XDO_GROUP_?G_4?147?</vt:lpstr>
      <vt:lpstr>XDO_GROUP_?G_4?148?</vt:lpstr>
      <vt:lpstr>XDO_GROUP_?G_4?149?</vt:lpstr>
      <vt:lpstr>XDO_GROUP_?G_4?150?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2024-11-08T05:49:31Z</dcterms:created>
  <dcterms:modified xsi:type="dcterms:W3CDTF">2024-11-08T05:49:32Z</dcterms:modified>
</cp:coreProperties>
</file>