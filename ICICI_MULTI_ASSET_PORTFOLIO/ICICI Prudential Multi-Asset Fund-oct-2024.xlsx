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8\Riskometer updated Portfolio\"/>
    </mc:Choice>
  </mc:AlternateContent>
  <xr:revisionPtr revIDLastSave="0" documentId="13_ncr:1_{15FF92F5-DC66-41F5-82AE-45F1DFDBCB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ULT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H89" i="2"/>
</calcChain>
</file>

<file path=xl/sharedStrings.xml><?xml version="1.0" encoding="utf-8"?>
<sst xmlns="http://schemas.openxmlformats.org/spreadsheetml/2006/main" count="1388" uniqueCount="450">
  <si>
    <t>ICICI Prudential Mutual Fund</t>
  </si>
  <si>
    <t>ICICI Prudential Multi-Asset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</si>
  <si>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</si>
  <si>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</si>
  <si>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</si>
  <si>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</si>
  <si>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</si>
  <si>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</si>
  <si>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</si>
  <si>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</si>
  <si>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</si>
  <si>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</si>
  <si>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</si>
  <si>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</si>
  <si>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</si>
  <si>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</si>
  <si>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</si>
  <si>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</si>
  <si>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</si>
  <si>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</si>
  <si>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Maruti Suzuki India Ltd.</t>
  </si>
  <si>
    <t>INE585B01010</t>
  </si>
  <si>
    <t>Automobiles</t>
  </si>
  <si>
    <t>NTPC Ltd.</t>
  </si>
  <si>
    <t>INE733E01010</t>
  </si>
  <si>
    <t>Power</t>
  </si>
  <si>
    <t>Reliance Industries Ltd.</t>
  </si>
  <si>
    <t>INE002A01018</t>
  </si>
  <si>
    <t>Petroleum Products</t>
  </si>
  <si>
    <t>Bajaj Finserv Ltd.</t>
  </si>
  <si>
    <t>INE918I01026</t>
  </si>
  <si>
    <t>Finance</t>
  </si>
  <si>
    <t>SBI Cards &amp; Payment Services Ltd.</t>
  </si>
  <si>
    <t>INE018E01016</t>
  </si>
  <si>
    <t>Infosys Ltd.</t>
  </si>
  <si>
    <t>INE009A01021</t>
  </si>
  <si>
    <t>It - Software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</si>
  <si>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</si>
  <si>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</si>
  <si>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</si>
  <si>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</si>
  <si>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</si>
  <si>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</si>
  <si>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Interglobe Aviation Ltd.</t>
  </si>
  <si>
    <t>INE646L01027</t>
  </si>
  <si>
    <t>Transport Services</t>
  </si>
  <si>
    <t>Eicher Motors Ltd.</t>
  </si>
  <si>
    <t>INE066A01021</t>
  </si>
  <si>
    <t>Oil &amp; Natural Gas Corporation Ltd.</t>
  </si>
  <si>
    <t>INE213A01029</t>
  </si>
  <si>
    <t>Oil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</si>
  <si>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</si>
  <si>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</si>
  <si>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</si>
  <si>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</si>
  <si>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</si>
  <si>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</si>
  <si>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</si>
  <si>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Alkem Laboratories Ltd.</t>
  </si>
  <si>
    <t>INE540L01014</t>
  </si>
  <si>
    <t>HDFC Life Insurance Company Ltd.</t>
  </si>
  <si>
    <t>INE795G01014</t>
  </si>
  <si>
    <t>Insurance</t>
  </si>
  <si>
    <t>Bharti Airtel Ltd.</t>
  </si>
  <si>
    <t>INE397D01024</t>
  </si>
  <si>
    <t>Telecom - Services</t>
  </si>
  <si>
    <t>ICICI Lombard General Insurance Company Ltd.</t>
  </si>
  <si>
    <t>INE765G01017</t>
  </si>
  <si>
    <t>Hindustan Unilever Ltd.</t>
  </si>
  <si>
    <t>INE030A01027</t>
  </si>
  <si>
    <t>Bajaj Finance Ltd.</t>
  </si>
  <si>
    <t>INE296A01024</t>
  </si>
  <si>
    <t>Kotak Mahindra Bank Ltd.</t>
  </si>
  <si>
    <t>INE237A01028</t>
  </si>
  <si>
    <t>Lupin Ltd.</t>
  </si>
  <si>
    <t>INE326A01037</t>
  </si>
  <si>
    <t>Tata Steel Ltd.</t>
  </si>
  <si>
    <t>INE081A01020</t>
  </si>
  <si>
    <t>Ferrous Metals</t>
  </si>
  <si>
    <t>IndusInd Bank Ltd.</t>
  </si>
  <si>
    <t>INE095A01012</t>
  </si>
  <si>
    <t>Avenue Supermarts Ltd.</t>
  </si>
  <si>
    <t>INE192R01011</t>
  </si>
  <si>
    <t>Retailing</t>
  </si>
  <si>
    <t>Tech Mahindra Ltd.</t>
  </si>
  <si>
    <t>INE669C01036</t>
  </si>
  <si>
    <t>Tata Consultancy Services Ltd.</t>
  </si>
  <si>
    <t>INE467B01029</t>
  </si>
  <si>
    <t>TVS Motor Company Ltd.</t>
  </si>
  <si>
    <t>INE494B01023</t>
  </si>
  <si>
    <t>Wipro Ltd.</t>
  </si>
  <si>
    <t>INE075A01022</t>
  </si>
  <si>
    <t>Asian Paints Ltd.</t>
  </si>
  <si>
    <t>INE021A01026</t>
  </si>
  <si>
    <t>Consumer Durables</t>
  </si>
  <si>
    <t>Hindustan Petroleum Corporation Ltd.</t>
  </si>
  <si>
    <t>INE094A01015</t>
  </si>
  <si>
    <t>Grasim Industries Ltd.</t>
  </si>
  <si>
    <t>INE047A01021</t>
  </si>
  <si>
    <t>Cement &amp; Cement Products</t>
  </si>
  <si>
    <t>HCL Technologies Ltd.</t>
  </si>
  <si>
    <t>INE860A01027</t>
  </si>
  <si>
    <t>Tata Motors Ltd.</t>
  </si>
  <si>
    <t>INE155A01022</t>
  </si>
  <si>
    <t>United Breweries Ltd.</t>
  </si>
  <si>
    <t>INE686F01025</t>
  </si>
  <si>
    <t>Beverages</t>
  </si>
  <si>
    <t>Hindalco Industries Ltd.</t>
  </si>
  <si>
    <t>INE038A01020</t>
  </si>
  <si>
    <t>Non - Ferrous Metals</t>
  </si>
  <si>
    <t>Gujarat Gas Ltd.</t>
  </si>
  <si>
    <t>INE844O01030</t>
  </si>
  <si>
    <t>Gas</t>
  </si>
  <si>
    <t>NCC Ltd.</t>
  </si>
  <si>
    <t>INE868B01028</t>
  </si>
  <si>
    <t>Samvardhana Motherson International Ltd.</t>
  </si>
  <si>
    <t>INE775A01035</t>
  </si>
  <si>
    <t>Auto Components</t>
  </si>
  <si>
    <t>Shree Cements Ltd.</t>
  </si>
  <si>
    <t>INE070A01015</t>
  </si>
  <si>
    <t>UPL Ltd.</t>
  </si>
  <si>
    <t>INE628A01036</t>
  </si>
  <si>
    <t>Fertilizers &amp; Agrochemicals</t>
  </si>
  <si>
    <t>Kalpataru Projects International Ltd</t>
  </si>
  <si>
    <t>INE220B01022</t>
  </si>
  <si>
    <t>Bharat Petroleum Corporation Ltd.</t>
  </si>
  <si>
    <t>INE029A01011</t>
  </si>
  <si>
    <t>ACC Ltd.</t>
  </si>
  <si>
    <t>INE012A01025</t>
  </si>
  <si>
    <t>CIE Automotive India Ltd</t>
  </si>
  <si>
    <t>INE536H01010</t>
  </si>
  <si>
    <t>Gujarat Narmada Valley Fertilizers and Chemicals Ltd.</t>
  </si>
  <si>
    <t>INE113A01013</t>
  </si>
  <si>
    <t>Chemicals &amp; Petrochemicals</t>
  </si>
  <si>
    <t>Nestle India Ltd.</t>
  </si>
  <si>
    <t>INE239A01024</t>
  </si>
  <si>
    <t>Food Products</t>
  </si>
  <si>
    <t>Life Insurance Corporation of India</t>
  </si>
  <si>
    <t>INE0J1Y01017</t>
  </si>
  <si>
    <t>FSN E-Commerce Ventures Ltd.</t>
  </si>
  <si>
    <t>INE388Y01029</t>
  </si>
  <si>
    <t>Coal India Ltd.</t>
  </si>
  <si>
    <t>INE522F01014</t>
  </si>
  <si>
    <t>Consumable Fuels</t>
  </si>
  <si>
    <t>Indian Bank</t>
  </si>
  <si>
    <t>INE562A01011</t>
  </si>
  <si>
    <t>Syngene International Ltd.</t>
  </si>
  <si>
    <t>INE398R01022</t>
  </si>
  <si>
    <t>Healthcare Services</t>
  </si>
  <si>
    <t>Vedanta Ltd.</t>
  </si>
  <si>
    <t>INE205A01025</t>
  </si>
  <si>
    <t>Diversified Metals</t>
  </si>
  <si>
    <t>Nuvoco Vistas Corporation Ltd.</t>
  </si>
  <si>
    <t>INE118D01016</t>
  </si>
  <si>
    <t>Ashok Leyland Ltd.</t>
  </si>
  <si>
    <t>INE208A01029</t>
  </si>
  <si>
    <t>Agricultural, Commercial &amp; Construction Vehicles</t>
  </si>
  <si>
    <t>SBI Life Insurance Company Ltd.</t>
  </si>
  <si>
    <t>INE123W01016</t>
  </si>
  <si>
    <t>The Federal Bank Ltd.</t>
  </si>
  <si>
    <t>INE171A01029</t>
  </si>
  <si>
    <t>Dabur India Ltd.</t>
  </si>
  <si>
    <t>INE016A01026</t>
  </si>
  <si>
    <t>Personal Products</t>
  </si>
  <si>
    <t>Cipla Ltd.</t>
  </si>
  <si>
    <t>INE059A01026</t>
  </si>
  <si>
    <t>Ambuja Cements Ltd.</t>
  </si>
  <si>
    <t>INE079A01024</t>
  </si>
  <si>
    <t>Ratnamani Metals &amp; Tubes Ltd.</t>
  </si>
  <si>
    <t>INE703B01027</t>
  </si>
  <si>
    <t>Industrial Products</t>
  </si>
  <si>
    <t>Berger Paints India Ltd.</t>
  </si>
  <si>
    <t>INE463A01038</t>
  </si>
  <si>
    <t>LIC Housing Finance Ltd.</t>
  </si>
  <si>
    <t>INE115A01026</t>
  </si>
  <si>
    <t>AIA Engineering Ltd.</t>
  </si>
  <si>
    <t>INE212H01026</t>
  </si>
  <si>
    <t>Biocon Ltd.</t>
  </si>
  <si>
    <t>INE376G01013</t>
  </si>
  <si>
    <t>PVR Ltd.</t>
  </si>
  <si>
    <t>INE191H01014</t>
  </si>
  <si>
    <t>Entertainment</t>
  </si>
  <si>
    <t>Motherson Sumi Wiring India Ltd.</t>
  </si>
  <si>
    <t>INE0FS801015</t>
  </si>
  <si>
    <t>Mahindra &amp; Mahindra Financial Services Ltd.</t>
  </si>
  <si>
    <t>INE774D01024</t>
  </si>
  <si>
    <t>Zee Entertainment Enterprises Ltd.</t>
  </si>
  <si>
    <t>INE256A01028</t>
  </si>
  <si>
    <t>Star Health &amp; Allied Insurance</t>
  </si>
  <si>
    <t>INE575P01011</t>
  </si>
  <si>
    <t>Chemplast Sanmar Ltd</t>
  </si>
  <si>
    <t>INE488A01050</t>
  </si>
  <si>
    <t>Medplus Health Services Ltd</t>
  </si>
  <si>
    <t>INE804L01022</t>
  </si>
  <si>
    <t>D.B. Corp Ltd.</t>
  </si>
  <si>
    <t>INE950I01011</t>
  </si>
  <si>
    <t>Media</t>
  </si>
  <si>
    <t>IPCA Laboratories Ltd.</t>
  </si>
  <si>
    <t>INE571A01038</t>
  </si>
  <si>
    <t>Ingersoll - Rand (India) Ltd</t>
  </si>
  <si>
    <t>INE177A01018</t>
  </si>
  <si>
    <t>JSW Steel Ltd.</t>
  </si>
  <si>
    <t>INE019A01038</t>
  </si>
  <si>
    <t>Entertainment Network (India) Ltd.</t>
  </si>
  <si>
    <t>INE265F01028</t>
  </si>
  <si>
    <t>Heidleberg Cement India Ltd.</t>
  </si>
  <si>
    <t>INE578A01017</t>
  </si>
  <si>
    <t>Cognizant Tech Solutions</t>
  </si>
  <si>
    <t>US1924461023</t>
  </si>
  <si>
    <t>It Consulting &amp; Other Services</t>
  </si>
  <si>
    <t>Compulsory Convertible Debenture</t>
  </si>
  <si>
    <t>Cholamandalam Investment And Finance Company Ltd. **</t>
  </si>
  <si>
    <t>INE121A08PJ0</t>
  </si>
  <si>
    <t>Samvardhana Motherson International Ltd.**</t>
  </si>
  <si>
    <t>INE775A08105</t>
  </si>
  <si>
    <t>Unlisted</t>
  </si>
  <si>
    <t>Nil</t>
  </si>
  <si>
    <t>Debt Instruments</t>
  </si>
  <si>
    <t>Government Securities</t>
  </si>
  <si>
    <t>IN0020200120</t>
  </si>
  <si>
    <t>SOV</t>
  </si>
  <si>
    <t>IN0020230085</t>
  </si>
  <si>
    <t>IN0020240019</t>
  </si>
  <si>
    <t>State Government of Rajasthan</t>
  </si>
  <si>
    <t>IN2920230579</t>
  </si>
  <si>
    <t>State Government of West Bengal</t>
  </si>
  <si>
    <t>IN3420230317</t>
  </si>
  <si>
    <t>Non-Convertible debentures / Bonds</t>
  </si>
  <si>
    <t>Muthoot Finance Ltd. **</t>
  </si>
  <si>
    <t>INE414G07JF9</t>
  </si>
  <si>
    <t>CRISIL AA+</t>
  </si>
  <si>
    <t>Power Finance Corporation Ltd.</t>
  </si>
  <si>
    <t>INE134E08KT5</t>
  </si>
  <si>
    <t>CRISIL AAA</t>
  </si>
  <si>
    <t>INE414G07JG7</t>
  </si>
  <si>
    <t>Godrej Industries Ltd. **</t>
  </si>
  <si>
    <t>INE233A08139</t>
  </si>
  <si>
    <t>INE414G07JI3</t>
  </si>
  <si>
    <t>Small Industries Development Bank Of India. **</t>
  </si>
  <si>
    <t>INE556F08KH1</t>
  </si>
  <si>
    <t>Yes Bank Ltd. **</t>
  </si>
  <si>
    <t>INE528G08345</t>
  </si>
  <si>
    <t>ICRA A</t>
  </si>
  <si>
    <t>Bharti Telecom Ltd. **</t>
  </si>
  <si>
    <t>INE403D08207</t>
  </si>
  <si>
    <t>NABARD **</t>
  </si>
  <si>
    <t>INE261F08ED0</t>
  </si>
  <si>
    <t>TVS Credit Services Ltd. **</t>
  </si>
  <si>
    <t>INE729N08113</t>
  </si>
  <si>
    <t>CRISIL AA</t>
  </si>
  <si>
    <t>Mankind Pharma Ltd **</t>
  </si>
  <si>
    <t>INE634S07017</t>
  </si>
  <si>
    <t>Housing and Urban Development Corporation Ltd. **</t>
  </si>
  <si>
    <t>INE031A08871</t>
  </si>
  <si>
    <t>ICRA AAA</t>
  </si>
  <si>
    <t>INE261F08EA6</t>
  </si>
  <si>
    <t>Oberoi Realty Ltd. **</t>
  </si>
  <si>
    <t>INE093I07074</t>
  </si>
  <si>
    <t>CARE AA+</t>
  </si>
  <si>
    <t>INE261F08DI1</t>
  </si>
  <si>
    <t>Aptus Value Housing Finance **</t>
  </si>
  <si>
    <t>INE852O07139</t>
  </si>
  <si>
    <t>CARE AA-</t>
  </si>
  <si>
    <t>HDFC Bank Ltd. **</t>
  </si>
  <si>
    <t>INE040A08856</t>
  </si>
  <si>
    <t>360 One Prime Ltd. **</t>
  </si>
  <si>
    <t>INE248U07FA1</t>
  </si>
  <si>
    <t>ICRA AA</t>
  </si>
  <si>
    <t>LIC Housing Finance Ltd. **</t>
  </si>
  <si>
    <t>INE115A07PF2</t>
  </si>
  <si>
    <t>JM Financial Credit Solution Ltd. **</t>
  </si>
  <si>
    <t>INE651J07960</t>
  </si>
  <si>
    <t>INE233A08113</t>
  </si>
  <si>
    <t>Godrej Properties Ltd. **</t>
  </si>
  <si>
    <t>INE484J08089</t>
  </si>
  <si>
    <t>ICRA AA+</t>
  </si>
  <si>
    <t>INE040A08534</t>
  </si>
  <si>
    <t>INE403D08124</t>
  </si>
  <si>
    <t>INE040A08922</t>
  </si>
  <si>
    <t>Canara Bank ( Tier II Bond under Basel III ) **</t>
  </si>
  <si>
    <t>INE476A08076</t>
  </si>
  <si>
    <t>FITCH AAA</t>
  </si>
  <si>
    <t>Torrent Power Ltd. **</t>
  </si>
  <si>
    <t>INE813H07226</t>
  </si>
  <si>
    <t>INE403D08157</t>
  </si>
  <si>
    <t>SBFC Finance Ltd. **</t>
  </si>
  <si>
    <t>INE423Y07096</t>
  </si>
  <si>
    <t>FITCH AA-</t>
  </si>
  <si>
    <t>INE403D08181</t>
  </si>
  <si>
    <t>INE040A08989</t>
  </si>
  <si>
    <t>INE040A08AH8</t>
  </si>
  <si>
    <t>INE040A08849</t>
  </si>
  <si>
    <t>INE040A08641</t>
  </si>
  <si>
    <t>Bahadur Chand Investments Pvt. Ltd. **</t>
  </si>
  <si>
    <t>INE087M08126</t>
  </si>
  <si>
    <t>INE087M08134</t>
  </si>
  <si>
    <t>Macrotech Developers Ltd. **</t>
  </si>
  <si>
    <t>INE670K07265</t>
  </si>
  <si>
    <t>ICRA AA-</t>
  </si>
  <si>
    <t>INE634S07025</t>
  </si>
  <si>
    <t>Indostar Capital Finance Ltd. **</t>
  </si>
  <si>
    <t>INE896L07959</t>
  </si>
  <si>
    <t>Tyger Capital Private Ltd. **</t>
  </si>
  <si>
    <t>INE01EQ07103</t>
  </si>
  <si>
    <t>CRISIL A+</t>
  </si>
  <si>
    <t>INE01EQ07095</t>
  </si>
  <si>
    <t>Zero Coupon Bonds / Deep Discount Bonds</t>
  </si>
  <si>
    <t>Privately Placed/unlisted</t>
  </si>
  <si>
    <t>Securitized Debt Instruments</t>
  </si>
  <si>
    <t>Sansar Trust **</t>
  </si>
  <si>
    <t>INE14LF15016</t>
  </si>
  <si>
    <t>CRISIL AAA(SO)</t>
  </si>
  <si>
    <t>India Universal Trust AL1 **</t>
  </si>
  <si>
    <t>INE16J715035</t>
  </si>
  <si>
    <t>FITCH AAA(SO)</t>
  </si>
  <si>
    <t>INE16J715019</t>
  </si>
  <si>
    <t>INE16J715027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</si>
  <si>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</si>
  <si>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</si>
  <si>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</si>
  <si>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</si>
  <si>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</si>
  <si>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Punjab National Bank **</t>
  </si>
  <si>
    <t>INE160A16PK9</t>
  </si>
  <si>
    <t>CRISIL A1+</t>
  </si>
  <si>
    <t>Canara Bank **</t>
  </si>
  <si>
    <t>INE476A16YS4</t>
  </si>
  <si>
    <t>Axis Bank Ltd. **</t>
  </si>
  <si>
    <t>INE238AD6819</t>
  </si>
  <si>
    <t>Bank Of India **</t>
  </si>
  <si>
    <t>INE084A16CN3</t>
  </si>
  <si>
    <t>INE160A16OP1</t>
  </si>
  <si>
    <t>INE238AD6645</t>
  </si>
  <si>
    <t>INE040A16ER2</t>
  </si>
  <si>
    <t>Commercial Papers</t>
  </si>
  <si>
    <t>Treasury Bills</t>
  </si>
  <si>
    <t>91 Days Treasury Bills</t>
  </si>
  <si>
    <t>IN002024X268</t>
  </si>
  <si>
    <t>182 Days Treasury Bills</t>
  </si>
  <si>
    <t>IN002024Y126</t>
  </si>
  <si>
    <t>IN002024X300</t>
  </si>
  <si>
    <t>IN002024X219</t>
  </si>
  <si>
    <t>IN002024Y100</t>
  </si>
  <si>
    <t>IN002024Y084</t>
  </si>
  <si>
    <t>IN002024Y092</t>
  </si>
  <si>
    <t>IN002024X250</t>
  </si>
  <si>
    <t>364 Days Treasury Bills</t>
  </si>
  <si>
    <t>IN002023Z463</t>
  </si>
  <si>
    <t>IN002024X284</t>
  </si>
  <si>
    <t>IN002024X235</t>
  </si>
  <si>
    <t>IN002023Z406</t>
  </si>
  <si>
    <t>IN002024Y159</t>
  </si>
  <si>
    <t>IN002023Z372</t>
  </si>
  <si>
    <t>IN002023Z448</t>
  </si>
  <si>
    <t>Units of Mutual Fund</t>
  </si>
  <si>
    <t>ICICI PRUDENTIAL SILVER ETF</t>
  </si>
  <si>
    <t>INF109KC1Y56</t>
  </si>
  <si>
    <t>Mutual Fund</t>
  </si>
  <si>
    <t>ICICI Prudential Gold ETF</t>
  </si>
  <si>
    <t>INF109KC1NT3</t>
  </si>
  <si>
    <t>Reverse Repo</t>
  </si>
  <si>
    <t>Units of Infrastructure Investment Trusts (InvITs)</t>
  </si>
  <si>
    <t>India Infrastructure Trust</t>
  </si>
  <si>
    <t>INE05KD23015</t>
  </si>
  <si>
    <t>Units of Infrastructure Investment Trusts</t>
  </si>
  <si>
    <t>Cube Highways Trust</t>
  </si>
  <si>
    <t>INE0NR623014</t>
  </si>
  <si>
    <t>Units of Real Estate Investment Trust (REITs)</t>
  </si>
  <si>
    <t>EMBASSY OFFICE PARKS REIT</t>
  </si>
  <si>
    <t>INE041025011</t>
  </si>
  <si>
    <t>Nexus Select Trust</t>
  </si>
  <si>
    <t>INE0NDH25011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</si>
  <si>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</si>
  <si>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</si>
  <si>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</si>
  <si>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</si>
  <si>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</si>
  <si>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</si>
  <si>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 &amp; commodity future</t>
  </si>
  <si>
    <t>Stock / Index Futures</t>
  </si>
  <si>
    <t>SBI Cards and Payment Services Ltd. $$</t>
  </si>
  <si>
    <t>Bajaj Finserv Ltd. $$</t>
  </si>
  <si>
    <t>Wipro Ltd. $$</t>
  </si>
  <si>
    <t>Syngene International Ltd. $$</t>
  </si>
  <si>
    <t>Tech Mahindra Ltd. $$</t>
  </si>
  <si>
    <t>HCL Technologies Ltd. $$</t>
  </si>
  <si>
    <t>Oil &amp; Natural Gas Corporation Ltd. $$</t>
  </si>
  <si>
    <t>Asian Paints Ltd. $$</t>
  </si>
  <si>
    <t>Berger Paints India Ltd $$</t>
  </si>
  <si>
    <t>IPCA Laboratories Ltd. $$</t>
  </si>
  <si>
    <t>Bharat Petroleum Corporation Ltd. $$</t>
  </si>
  <si>
    <t>ACC Ltd. $$</t>
  </si>
  <si>
    <t>Hindalco Industries Ltd. $$</t>
  </si>
  <si>
    <t>Vedanta Ltd. $$</t>
  </si>
  <si>
    <t>ICICI Bank Ltd. $$</t>
  </si>
  <si>
    <t>Biocon Ltd. $$</t>
  </si>
  <si>
    <t>IndusInd Bank Ltd. $$</t>
  </si>
  <si>
    <t>Tata Consultancy Services Ltd. $$</t>
  </si>
  <si>
    <t>LIC Housing Finance Ltd. $$</t>
  </si>
  <si>
    <t>Maruti Suzuki India Ltd. $$</t>
  </si>
  <si>
    <t>Sun Pharmaceutical Industries Ltd. $$</t>
  </si>
  <si>
    <t>Bharti Airtel Ltd. $$</t>
  </si>
  <si>
    <t>Alkem Laboratories Ltd $$</t>
  </si>
  <si>
    <t>Cipla Ltd. $$</t>
  </si>
  <si>
    <t>The Federal Bank Ltd. $$</t>
  </si>
  <si>
    <t>Coal India Ltd. $$</t>
  </si>
  <si>
    <t>Axis Bank Ltd. $$</t>
  </si>
  <si>
    <t>Ashok Leyland Ltd. $$</t>
  </si>
  <si>
    <t>Tata Motors Ltd. $$</t>
  </si>
  <si>
    <t>HDFC Bank Ltd. $$</t>
  </si>
  <si>
    <t>Grasim Industries Ltd. $$</t>
  </si>
  <si>
    <t>NTPC Ltd. $$</t>
  </si>
  <si>
    <t>Reliance Industries Ltd. $$</t>
  </si>
  <si>
    <t>HDFC Life Insurance Company Ltd $$</t>
  </si>
  <si>
    <t>Samvardhana Motherson International Ltd. $$</t>
  </si>
  <si>
    <t>TVS Motor Company Ltd. $$</t>
  </si>
  <si>
    <t>Larsen &amp; Toubro Ltd. $$</t>
  </si>
  <si>
    <t>Hindustan Petroleum Corporation Ltd. $$</t>
  </si>
  <si>
    <t>Kotak Mahindra Bank Ltd. $$</t>
  </si>
  <si>
    <t>ICICI Lombard General Insurance Company Ltd. $$</t>
  </si>
  <si>
    <t>Lupin Ltd. $$</t>
  </si>
  <si>
    <t>Interglobe Aviation Ltd. $$</t>
  </si>
  <si>
    <t>Nifty 50 Index $$</t>
  </si>
  <si>
    <t>Index Futures</t>
  </si>
  <si>
    <t>Exchange Traded Commodity Derivatives</t>
  </si>
  <si>
    <t>A) LISTED ON COMMODITY EXCHANGES (Quantity in Lots)</t>
  </si>
  <si>
    <t>Gold (1 KG-1000 GMS) Commodity Dec 2024 Future $$</t>
  </si>
  <si>
    <t>Gold</t>
  </si>
  <si>
    <t>Silver Future ( 30 KGS ) Commodity Dec 2024 Future $$ $$</t>
  </si>
  <si>
    <t>Silver</t>
  </si>
  <si>
    <t>Copper (2500 KGS.)  Commodity Nov 2024 Future $$ $$</t>
  </si>
  <si>
    <t>Copper</t>
  </si>
  <si>
    <t>Crude Oil Future (100 BARRELS) Commodity Nov 2024 Future $$ $$</t>
  </si>
  <si>
    <t>Crude Oil</t>
  </si>
  <si>
    <t>Aluminum Futures ( 5 MT) Commodity Nov 2024 Future $$ $$</t>
  </si>
  <si>
    <t>Aluminum</t>
  </si>
  <si>
    <t>Copper (2500 KGS.)  Commodity Dec 2024 Future $$ $$</t>
  </si>
  <si>
    <t>Note- 1 : Index/ Stock futures/ Commodity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</si>
  <si>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</si>
  <si>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</si>
  <si>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</si>
  <si>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For the Instrument/security whose final ISIN is yet to be assigned, disclosure of ISIN has been made as per the details provided by external agencies.</t>
  </si>
  <si>
    <t>Debt instruments having structured obligations or credit enhancement features have been denoted with suffix as (SO) or (CE) respectively against the ratings of the instrument.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</si>
  <si>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</si>
  <si>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</si>
  <si>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</si>
  <si>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</si>
  <si>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</si>
  <si>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TRI (65%) + Nifty Composite Debt Index (25%) + Domestic Price of Gold (6%) + Domestic Price of Silver (1%) + iCOMDEX Composite Index (3%)</t>
  </si>
  <si>
    <t>Foreign Securities/Overseas ETFs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</si>
</sst>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0" fontId="1" fillId="0" borderId="5" xfId="1" applyNumberFormat="1" applyFont="1" applyBorder="1" applyAlignment="1">
      <alignment horizontal="right"/>
    </xf>
    <xf numFmtId="10" fontId="3" fillId="0" borderId="7" xfId="1" applyNumberFormat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295</xdr:row>
      <xdr:rowOff>0</xdr:rowOff>
    </xdr:from>
    <xdr:to>
      <xdr:col>2</xdr:col>
      <xdr:colOff>0</xdr:colOff>
      <xdr:row>305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6216550"/>
          <a:ext cx="4676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2</xdr:col>
      <xdr:colOff>0</xdr:colOff>
      <xdr:row>320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59074050"/>
          <a:ext cx="4676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topLeftCell="A73" zoomScale="67" zoomScaleNormal="67" workbookViewId="0">
      <selection activeCell="E91" sqref="E91"/>
    </sheetView>
  </sheetViews>
  <sheetFormatPr defaultColWidth="10" defaultRowHeight="15" customHeight="1" x14ac:dyDescent="0.2"/>
  <cols>
    <col min="1" max="1" width="10" style="1" customWidth="1" collapsed="1"/>
    <col min="2" max="2" width="70.140625" style="1" bestFit="1" customWidth="1" collapsed="1"/>
    <col min="3" max="3" width="16.85546875" style="1" bestFit="1" customWidth="1" collapsed="1"/>
    <col min="4" max="4" width="9.7109375" style="1" bestFit="1" customWidth="1" collapsed="1"/>
    <col min="5" max="5" width="50.28515625" style="1" bestFit="1" customWidth="1" collapsed="1"/>
    <col min="6" max="6" width="13.5703125" style="1" bestFit="1" customWidth="1" collapsed="1"/>
    <col min="7" max="7" width="38.7109375" style="1" bestFit="1" customWidth="1" collapsed="1"/>
    <col min="8" max="8" width="11.7109375" style="1" bestFit="1" customWidth="1" collapsed="1"/>
    <col min="9" max="9" width="29.7109375" style="1" bestFit="1" customWidth="1" collapsed="1"/>
    <col min="10" max="10" width="26.7109375" style="1" bestFit="1" customWidth="1" collapsed="1"/>
  </cols>
  <sheetData>
    <row r="1" spans="2:10" ht="15" customHeight="1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/>
    </row>
    <row r="2" spans="2:10" ht="15" customHeight="1" x14ac:dyDescent="0.2">
      <c r="B2" s="24" t="s">
        <v>1</v>
      </c>
      <c r="C2" s="24"/>
      <c r="D2" s="24"/>
      <c r="E2" s="24"/>
      <c r="F2" s="24"/>
      <c r="G2" s="24"/>
      <c r="H2" s="24"/>
      <c r="I2" s="24"/>
      <c r="J2" s="24"/>
    </row>
    <row r="3" spans="2:10" ht="15" customHeight="1" x14ac:dyDescent="0.2">
      <c r="B3" s="25" t="s">
        <v>2</v>
      </c>
      <c r="C3" s="25"/>
      <c r="D3" s="25"/>
      <c r="E3" s="25"/>
      <c r="F3" s="25"/>
      <c r="G3" s="25"/>
      <c r="H3" s="25"/>
      <c r="I3" s="25"/>
      <c r="J3" s="25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3376536.2400000007</v>
      </c>
      <c r="H5" s="9">
        <v>0.66666079282137636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f>SUM(G8:G87)</f>
        <v>3342495.6300000004</v>
      </c>
      <c r="H7" s="9">
        <f>SUM(H8:H87)</f>
        <v>0.65993984021270002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2" t="s">
        <v>16</v>
      </c>
      <c r="D8" s="2" t="s">
        <v>13</v>
      </c>
      <c r="E8" s="2" t="s">
        <v>17</v>
      </c>
      <c r="F8" s="12">
        <v>18656800</v>
      </c>
      <c r="G8" s="13">
        <v>241092.5</v>
      </c>
      <c r="H8" s="14">
        <v>4.76011230947E-2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2" t="s">
        <v>19</v>
      </c>
      <c r="D9" s="2" t="s">
        <v>13</v>
      </c>
      <c r="E9" s="2" t="s">
        <v>17</v>
      </c>
      <c r="F9" s="12">
        <v>12975499</v>
      </c>
      <c r="G9" s="13">
        <v>225215.74</v>
      </c>
      <c r="H9" s="14">
        <v>4.4466427460900002E-2</v>
      </c>
      <c r="I9" s="13" t="s">
        <v>13</v>
      </c>
      <c r="J9" s="10" t="s">
        <v>13</v>
      </c>
    </row>
    <row r="10" spans="2:10" ht="15" customHeight="1" x14ac:dyDescent="0.2">
      <c r="B10" s="11" t="s">
        <v>20</v>
      </c>
      <c r="C10" s="2" t="s">
        <v>21</v>
      </c>
      <c r="D10" s="2" t="s">
        <v>13</v>
      </c>
      <c r="E10" s="2" t="s">
        <v>22</v>
      </c>
      <c r="F10" s="12">
        <v>1730200</v>
      </c>
      <c r="G10" s="13">
        <v>191644.74</v>
      </c>
      <c r="H10" s="14">
        <v>3.78381942997E-2</v>
      </c>
      <c r="I10" s="13" t="s">
        <v>13</v>
      </c>
      <c r="J10" s="10" t="s">
        <v>13</v>
      </c>
    </row>
    <row r="11" spans="2:10" ht="15" customHeight="1" x14ac:dyDescent="0.2">
      <c r="B11" s="11" t="s">
        <v>23</v>
      </c>
      <c r="C11" s="2" t="s">
        <v>24</v>
      </c>
      <c r="D11" s="2" t="s">
        <v>13</v>
      </c>
      <c r="E11" s="2" t="s">
        <v>25</v>
      </c>
      <c r="F11" s="12">
        <v>38544163</v>
      </c>
      <c r="G11" s="13">
        <v>157318</v>
      </c>
      <c r="H11" s="14">
        <v>3.1060748397500001E-2</v>
      </c>
      <c r="I11" s="13" t="s">
        <v>13</v>
      </c>
      <c r="J11" s="10" t="s">
        <v>13</v>
      </c>
    </row>
    <row r="12" spans="2:10" ht="15" customHeight="1" x14ac:dyDescent="0.2">
      <c r="B12" s="11" t="s">
        <v>26</v>
      </c>
      <c r="C12" s="2" t="s">
        <v>27</v>
      </c>
      <c r="D12" s="2" t="s">
        <v>13</v>
      </c>
      <c r="E12" s="2" t="s">
        <v>28</v>
      </c>
      <c r="F12" s="12">
        <v>11177024</v>
      </c>
      <c r="G12" s="13">
        <v>148883.54999999999</v>
      </c>
      <c r="H12" s="14">
        <v>2.9395456890300001E-2</v>
      </c>
      <c r="I12" s="13" t="s">
        <v>13</v>
      </c>
      <c r="J12" s="10" t="s">
        <v>13</v>
      </c>
    </row>
    <row r="13" spans="2:10" ht="15" customHeight="1" x14ac:dyDescent="0.2">
      <c r="B13" s="11" t="s">
        <v>29</v>
      </c>
      <c r="C13" s="2" t="s">
        <v>30</v>
      </c>
      <c r="D13" s="2" t="s">
        <v>13</v>
      </c>
      <c r="E13" s="2" t="s">
        <v>31</v>
      </c>
      <c r="F13" s="12">
        <v>6934716</v>
      </c>
      <c r="G13" s="13">
        <v>121409.54</v>
      </c>
      <c r="H13" s="14">
        <v>2.3971008879999998E-2</v>
      </c>
      <c r="I13" s="13" t="s">
        <v>13</v>
      </c>
      <c r="J13" s="10" t="s">
        <v>13</v>
      </c>
    </row>
    <row r="14" spans="2:10" ht="15" customHeight="1" x14ac:dyDescent="0.2">
      <c r="B14" s="11" t="s">
        <v>32</v>
      </c>
      <c r="C14" s="2" t="s">
        <v>33</v>
      </c>
      <c r="D14" s="2" t="s">
        <v>13</v>
      </c>
      <c r="E14" s="2" t="s">
        <v>31</v>
      </c>
      <c r="F14" s="12">
        <v>15794626</v>
      </c>
      <c r="G14" s="13">
        <v>108730.21</v>
      </c>
      <c r="H14" s="14">
        <v>2.14676114368E-2</v>
      </c>
      <c r="I14" s="13" t="s">
        <v>13</v>
      </c>
      <c r="J14" s="10" t="s">
        <v>13</v>
      </c>
    </row>
    <row r="15" spans="2:10" ht="15" customHeight="1" x14ac:dyDescent="0.2">
      <c r="B15" s="11" t="s">
        <v>34</v>
      </c>
      <c r="C15" s="2" t="s">
        <v>35</v>
      </c>
      <c r="D15" s="2" t="s">
        <v>13</v>
      </c>
      <c r="E15" s="2" t="s">
        <v>36</v>
      </c>
      <c r="F15" s="12">
        <v>5720805</v>
      </c>
      <c r="G15" s="13">
        <v>100528.85</v>
      </c>
      <c r="H15" s="14">
        <v>1.9848341045099999E-2</v>
      </c>
      <c r="I15" s="13" t="s">
        <v>13</v>
      </c>
      <c r="J15" s="10" t="s">
        <v>13</v>
      </c>
    </row>
    <row r="16" spans="2:10" ht="15" customHeight="1" x14ac:dyDescent="0.2">
      <c r="B16" s="11" t="s">
        <v>37</v>
      </c>
      <c r="C16" s="2" t="s">
        <v>38</v>
      </c>
      <c r="D16" s="2" t="s">
        <v>13</v>
      </c>
      <c r="E16" s="2" t="s">
        <v>39</v>
      </c>
      <c r="F16" s="12">
        <v>2645246</v>
      </c>
      <c r="G16" s="13">
        <v>95818.75</v>
      </c>
      <c r="H16" s="14">
        <v>1.8918382419700001E-2</v>
      </c>
      <c r="I16" s="13" t="s">
        <v>13</v>
      </c>
      <c r="J16" s="10" t="s">
        <v>13</v>
      </c>
    </row>
    <row r="17" spans="2:10" ht="15" customHeight="1" x14ac:dyDescent="0.2">
      <c r="B17" s="11" t="s">
        <v>40</v>
      </c>
      <c r="C17" s="2" t="s">
        <v>41</v>
      </c>
      <c r="D17" s="2" t="s">
        <v>13</v>
      </c>
      <c r="E17" s="2" t="s">
        <v>42</v>
      </c>
      <c r="F17" s="12">
        <v>4711096</v>
      </c>
      <c r="G17" s="13">
        <v>87103.45</v>
      </c>
      <c r="H17" s="14">
        <v>1.71976400984E-2</v>
      </c>
      <c r="I17" s="13" t="s">
        <v>13</v>
      </c>
      <c r="J17" s="10" t="s">
        <v>13</v>
      </c>
    </row>
    <row r="18" spans="2:10" ht="15" customHeight="1" x14ac:dyDescent="0.2">
      <c r="B18" s="11" t="s">
        <v>43</v>
      </c>
      <c r="C18" s="2" t="s">
        <v>44</v>
      </c>
      <c r="D18" s="2" t="s">
        <v>13</v>
      </c>
      <c r="E18" s="2" t="s">
        <v>45</v>
      </c>
      <c r="F18" s="12">
        <v>2081845</v>
      </c>
      <c r="G18" s="13">
        <v>84366.77</v>
      </c>
      <c r="H18" s="14">
        <v>1.6657312043599999E-2</v>
      </c>
      <c r="I18" s="13" t="s">
        <v>13</v>
      </c>
      <c r="J18" s="10" t="s">
        <v>13</v>
      </c>
    </row>
    <row r="19" spans="2:10" ht="15" customHeight="1" x14ac:dyDescent="0.2">
      <c r="B19" s="11" t="s">
        <v>46</v>
      </c>
      <c r="C19" s="2" t="s">
        <v>47</v>
      </c>
      <c r="D19" s="2" t="s">
        <v>13</v>
      </c>
      <c r="E19" s="2" t="s">
        <v>22</v>
      </c>
      <c r="F19" s="12">
        <v>1530822</v>
      </c>
      <c r="G19" s="13">
        <v>74928.38</v>
      </c>
      <c r="H19" s="14">
        <v>1.47938033728E-2</v>
      </c>
      <c r="I19" s="13" t="s">
        <v>13</v>
      </c>
      <c r="J19" s="10" t="s">
        <v>13</v>
      </c>
    </row>
    <row r="20" spans="2:10" ht="15" customHeight="1" x14ac:dyDescent="0.2">
      <c r="B20" s="11" t="s">
        <v>48</v>
      </c>
      <c r="C20" s="2" t="s">
        <v>49</v>
      </c>
      <c r="D20" s="2" t="s">
        <v>13</v>
      </c>
      <c r="E20" s="2" t="s">
        <v>50</v>
      </c>
      <c r="F20" s="12">
        <v>27189027</v>
      </c>
      <c r="G20" s="13">
        <v>72363.600000000006</v>
      </c>
      <c r="H20" s="14">
        <v>1.42874151256E-2</v>
      </c>
      <c r="I20" s="13" t="s">
        <v>13</v>
      </c>
      <c r="J20" s="10" t="s">
        <v>13</v>
      </c>
    </row>
    <row r="21" spans="2:10" ht="15" customHeight="1" x14ac:dyDescent="0.2">
      <c r="B21" s="11" t="s">
        <v>51</v>
      </c>
      <c r="C21" s="2" t="s">
        <v>52</v>
      </c>
      <c r="D21" s="2" t="s">
        <v>13</v>
      </c>
      <c r="E21" s="2" t="s">
        <v>17</v>
      </c>
      <c r="F21" s="12">
        <v>5625804</v>
      </c>
      <c r="G21" s="13">
        <v>65234.01</v>
      </c>
      <c r="H21" s="14">
        <v>1.28797542021E-2</v>
      </c>
      <c r="I21" s="13" t="s">
        <v>13</v>
      </c>
      <c r="J21" s="10" t="s">
        <v>13</v>
      </c>
    </row>
    <row r="22" spans="2:10" ht="15" customHeight="1" x14ac:dyDescent="0.2">
      <c r="B22" s="11" t="s">
        <v>53</v>
      </c>
      <c r="C22" s="2" t="s">
        <v>54</v>
      </c>
      <c r="D22" s="2" t="s">
        <v>13</v>
      </c>
      <c r="E22" s="2" t="s">
        <v>17</v>
      </c>
      <c r="F22" s="12">
        <v>7248656</v>
      </c>
      <c r="G22" s="13">
        <v>59453.48</v>
      </c>
      <c r="H22" s="14">
        <v>1.17384506772E-2</v>
      </c>
      <c r="I22" s="13" t="s">
        <v>13</v>
      </c>
      <c r="J22" s="10" t="s">
        <v>13</v>
      </c>
    </row>
    <row r="23" spans="2:10" ht="15" customHeight="1" x14ac:dyDescent="0.2">
      <c r="B23" s="11" t="s">
        <v>55</v>
      </c>
      <c r="C23" s="2" t="s">
        <v>56</v>
      </c>
      <c r="D23" s="2" t="s">
        <v>13</v>
      </c>
      <c r="E23" s="2" t="s">
        <v>57</v>
      </c>
      <c r="F23" s="12">
        <v>11711655</v>
      </c>
      <c r="G23" s="13">
        <v>57246.57</v>
      </c>
      <c r="H23" s="14">
        <v>1.1302720015399999E-2</v>
      </c>
      <c r="I23" s="13" t="s">
        <v>13</v>
      </c>
      <c r="J23" s="10" t="s">
        <v>13</v>
      </c>
    </row>
    <row r="24" spans="2:10" ht="15" customHeight="1" x14ac:dyDescent="0.2">
      <c r="B24" s="11" t="s">
        <v>58</v>
      </c>
      <c r="C24" s="2" t="s">
        <v>59</v>
      </c>
      <c r="D24" s="2" t="s">
        <v>13</v>
      </c>
      <c r="E24" s="2" t="s">
        <v>42</v>
      </c>
      <c r="F24" s="12">
        <v>989721</v>
      </c>
      <c r="G24" s="13">
        <v>57198.45</v>
      </c>
      <c r="H24" s="14">
        <v>1.1293219238499999E-2</v>
      </c>
      <c r="I24" s="13" t="s">
        <v>13</v>
      </c>
      <c r="J24" s="10" t="s">
        <v>13</v>
      </c>
    </row>
    <row r="25" spans="2:10" ht="15" customHeight="1" x14ac:dyDescent="0.2">
      <c r="B25" s="11" t="s">
        <v>60</v>
      </c>
      <c r="C25" s="2" t="s">
        <v>61</v>
      </c>
      <c r="D25" s="2" t="s">
        <v>13</v>
      </c>
      <c r="E25" s="2" t="s">
        <v>62</v>
      </c>
      <c r="F25" s="12">
        <v>7141756</v>
      </c>
      <c r="G25" s="13">
        <v>51431.360000000001</v>
      </c>
      <c r="H25" s="14">
        <v>1.0154569297199999E-2</v>
      </c>
      <c r="I25" s="13" t="s">
        <v>13</v>
      </c>
      <c r="J25" s="10" t="s">
        <v>13</v>
      </c>
    </row>
    <row r="26" spans="2:10" ht="15" customHeight="1" x14ac:dyDescent="0.2">
      <c r="B26" s="11" t="s">
        <v>63</v>
      </c>
      <c r="C26" s="2" t="s">
        <v>64</v>
      </c>
      <c r="D26" s="2" t="s">
        <v>13</v>
      </c>
      <c r="E26" s="2" t="s">
        <v>65</v>
      </c>
      <c r="F26" s="12">
        <v>3096941</v>
      </c>
      <c r="G26" s="13">
        <v>49941.27</v>
      </c>
      <c r="H26" s="14">
        <v>9.8603670407000008E-3</v>
      </c>
      <c r="I26" s="13" t="s">
        <v>13</v>
      </c>
      <c r="J26" s="10" t="s">
        <v>13</v>
      </c>
    </row>
    <row r="27" spans="2:10" ht="15" customHeight="1" x14ac:dyDescent="0.2">
      <c r="B27" s="11" t="s">
        <v>66</v>
      </c>
      <c r="C27" s="2" t="s">
        <v>67</v>
      </c>
      <c r="D27" s="2" t="s">
        <v>13</v>
      </c>
      <c r="E27" s="2" t="s">
        <v>62</v>
      </c>
      <c r="F27" s="12">
        <v>2600127</v>
      </c>
      <c r="G27" s="13">
        <v>49853.54</v>
      </c>
      <c r="H27" s="14">
        <v>9.8430456951E-3</v>
      </c>
      <c r="I27" s="13" t="s">
        <v>13</v>
      </c>
      <c r="J27" s="10" t="s">
        <v>13</v>
      </c>
    </row>
    <row r="28" spans="2:10" ht="15" customHeight="1" x14ac:dyDescent="0.2">
      <c r="B28" s="11" t="s">
        <v>68</v>
      </c>
      <c r="C28" s="2" t="s">
        <v>69</v>
      </c>
      <c r="D28" s="2" t="s">
        <v>13</v>
      </c>
      <c r="E28" s="2" t="s">
        <v>57</v>
      </c>
      <c r="F28" s="12">
        <v>1954034</v>
      </c>
      <c r="G28" s="13">
        <v>49402.86</v>
      </c>
      <c r="H28" s="14">
        <v>9.7540637725E-3</v>
      </c>
      <c r="I28" s="13" t="s">
        <v>13</v>
      </c>
      <c r="J28" s="10" t="s">
        <v>13</v>
      </c>
    </row>
    <row r="29" spans="2:10" ht="15" customHeight="1" x14ac:dyDescent="0.2">
      <c r="B29" s="11" t="s">
        <v>70</v>
      </c>
      <c r="C29" s="2" t="s">
        <v>71</v>
      </c>
      <c r="D29" s="2" t="s">
        <v>13</v>
      </c>
      <c r="E29" s="2" t="s">
        <v>31</v>
      </c>
      <c r="F29" s="12">
        <v>666213</v>
      </c>
      <c r="G29" s="13">
        <v>45900.41</v>
      </c>
      <c r="H29" s="14">
        <v>9.0625426609999993E-3</v>
      </c>
      <c r="I29" s="13" t="s">
        <v>13</v>
      </c>
      <c r="J29" s="10" t="s">
        <v>13</v>
      </c>
    </row>
    <row r="30" spans="2:10" ht="15" customHeight="1" x14ac:dyDescent="0.2">
      <c r="B30" s="11" t="s">
        <v>72</v>
      </c>
      <c r="C30" s="2" t="s">
        <v>73</v>
      </c>
      <c r="D30" s="2" t="s">
        <v>13</v>
      </c>
      <c r="E30" s="2" t="s">
        <v>17</v>
      </c>
      <c r="F30" s="12">
        <v>2613566</v>
      </c>
      <c r="G30" s="13">
        <v>45243.44</v>
      </c>
      <c r="H30" s="14">
        <v>8.932830995E-3</v>
      </c>
      <c r="I30" s="13" t="s">
        <v>13</v>
      </c>
      <c r="J30" s="10" t="s">
        <v>13</v>
      </c>
    </row>
    <row r="31" spans="2:10" ht="15" customHeight="1" x14ac:dyDescent="0.2">
      <c r="B31" s="11" t="s">
        <v>74</v>
      </c>
      <c r="C31" s="2" t="s">
        <v>75</v>
      </c>
      <c r="D31" s="2" t="s">
        <v>13</v>
      </c>
      <c r="E31" s="2" t="s">
        <v>42</v>
      </c>
      <c r="F31" s="12">
        <v>2005067</v>
      </c>
      <c r="G31" s="13">
        <v>43849.81</v>
      </c>
      <c r="H31" s="14">
        <v>8.6576737289000005E-3</v>
      </c>
      <c r="I31" s="13" t="s">
        <v>13</v>
      </c>
      <c r="J31" s="10" t="s">
        <v>13</v>
      </c>
    </row>
    <row r="32" spans="2:10" ht="15" customHeight="1" x14ac:dyDescent="0.2">
      <c r="B32" s="11" t="s">
        <v>76</v>
      </c>
      <c r="C32" s="2" t="s">
        <v>77</v>
      </c>
      <c r="D32" s="2" t="s">
        <v>13</v>
      </c>
      <c r="E32" s="2" t="s">
        <v>78</v>
      </c>
      <c r="F32" s="12">
        <v>25753167</v>
      </c>
      <c r="G32" s="13">
        <v>38258.9</v>
      </c>
      <c r="H32" s="14">
        <v>7.5538086350999999E-3</v>
      </c>
      <c r="I32" s="13" t="s">
        <v>13</v>
      </c>
      <c r="J32" s="10" t="s">
        <v>13</v>
      </c>
    </row>
    <row r="33" spans="2:10" ht="15" customHeight="1" x14ac:dyDescent="0.2">
      <c r="B33" s="11" t="s">
        <v>79</v>
      </c>
      <c r="C33" s="2" t="s">
        <v>80</v>
      </c>
      <c r="D33" s="2" t="s">
        <v>13</v>
      </c>
      <c r="E33" s="2" t="s">
        <v>17</v>
      </c>
      <c r="F33" s="12">
        <v>3532809</v>
      </c>
      <c r="G33" s="13">
        <v>37292.33</v>
      </c>
      <c r="H33" s="14">
        <v>7.3629697764000003E-3</v>
      </c>
      <c r="I33" s="13" t="s">
        <v>13</v>
      </c>
      <c r="J33" s="10" t="s">
        <v>13</v>
      </c>
    </row>
    <row r="34" spans="2:10" ht="15" customHeight="1" x14ac:dyDescent="0.2">
      <c r="B34" s="11" t="s">
        <v>81</v>
      </c>
      <c r="C34" s="2" t="s">
        <v>82</v>
      </c>
      <c r="D34" s="2" t="s">
        <v>13</v>
      </c>
      <c r="E34" s="2" t="s">
        <v>83</v>
      </c>
      <c r="F34" s="12">
        <v>939555</v>
      </c>
      <c r="G34" s="13">
        <v>36931.089999999997</v>
      </c>
      <c r="H34" s="14">
        <v>7.2916468206E-3</v>
      </c>
      <c r="I34" s="13" t="s">
        <v>13</v>
      </c>
      <c r="J34" s="10" t="s">
        <v>13</v>
      </c>
    </row>
    <row r="35" spans="2:10" ht="15" customHeight="1" x14ac:dyDescent="0.2">
      <c r="B35" s="11" t="s">
        <v>84</v>
      </c>
      <c r="C35" s="2" t="s">
        <v>85</v>
      </c>
      <c r="D35" s="2" t="s">
        <v>13</v>
      </c>
      <c r="E35" s="2" t="s">
        <v>36</v>
      </c>
      <c r="F35" s="12">
        <v>2190821</v>
      </c>
      <c r="G35" s="13">
        <v>35242.639999999999</v>
      </c>
      <c r="H35" s="14">
        <v>6.9582805140000004E-3</v>
      </c>
      <c r="I35" s="13" t="s">
        <v>13</v>
      </c>
      <c r="J35" s="10" t="s">
        <v>13</v>
      </c>
    </row>
    <row r="36" spans="2:10" ht="15" customHeight="1" x14ac:dyDescent="0.2">
      <c r="B36" s="11" t="s">
        <v>86</v>
      </c>
      <c r="C36" s="2" t="s">
        <v>87</v>
      </c>
      <c r="D36" s="2" t="s">
        <v>13</v>
      </c>
      <c r="E36" s="2" t="s">
        <v>36</v>
      </c>
      <c r="F36" s="12">
        <v>869084</v>
      </c>
      <c r="G36" s="13">
        <v>34489.160000000003</v>
      </c>
      <c r="H36" s="14">
        <v>6.8095139855999997E-3</v>
      </c>
      <c r="I36" s="13" t="s">
        <v>13</v>
      </c>
      <c r="J36" s="10" t="s">
        <v>13</v>
      </c>
    </row>
    <row r="37" spans="2:10" ht="15" customHeight="1" x14ac:dyDescent="0.2">
      <c r="B37" s="11" t="s">
        <v>88</v>
      </c>
      <c r="C37" s="2" t="s">
        <v>89</v>
      </c>
      <c r="D37" s="2" t="s">
        <v>13</v>
      </c>
      <c r="E37" s="2" t="s">
        <v>22</v>
      </c>
      <c r="F37" s="12">
        <v>1374606</v>
      </c>
      <c r="G37" s="13">
        <v>34278.550000000003</v>
      </c>
      <c r="H37" s="14">
        <v>6.7679313046000002E-3</v>
      </c>
      <c r="I37" s="13" t="s">
        <v>13</v>
      </c>
      <c r="J37" s="10" t="s">
        <v>13</v>
      </c>
    </row>
    <row r="38" spans="2:10" ht="15" customHeight="1" x14ac:dyDescent="0.2">
      <c r="B38" s="11" t="s">
        <v>90</v>
      </c>
      <c r="C38" s="2" t="s">
        <v>91</v>
      </c>
      <c r="D38" s="2" t="s">
        <v>13</v>
      </c>
      <c r="E38" s="2" t="s">
        <v>36</v>
      </c>
      <c r="F38" s="12">
        <v>6144369</v>
      </c>
      <c r="G38" s="13">
        <v>33904.629999999997</v>
      </c>
      <c r="H38" s="14">
        <v>6.6941048190999998E-3</v>
      </c>
      <c r="I38" s="13" t="s">
        <v>13</v>
      </c>
      <c r="J38" s="10" t="s">
        <v>13</v>
      </c>
    </row>
    <row r="39" spans="2:10" ht="15" customHeight="1" x14ac:dyDescent="0.2">
      <c r="B39" s="11" t="s">
        <v>92</v>
      </c>
      <c r="C39" s="2" t="s">
        <v>93</v>
      </c>
      <c r="D39" s="2" t="s">
        <v>13</v>
      </c>
      <c r="E39" s="2" t="s">
        <v>94</v>
      </c>
      <c r="F39" s="12">
        <v>1127684</v>
      </c>
      <c r="G39" s="13">
        <v>33104.86</v>
      </c>
      <c r="H39" s="14">
        <v>6.5361988278000004E-3</v>
      </c>
      <c r="I39" s="13" t="s">
        <v>13</v>
      </c>
      <c r="J39" s="10" t="s">
        <v>13</v>
      </c>
    </row>
    <row r="40" spans="2:10" ht="15" customHeight="1" x14ac:dyDescent="0.2">
      <c r="B40" s="11" t="s">
        <v>95</v>
      </c>
      <c r="C40" s="2" t="s">
        <v>96</v>
      </c>
      <c r="D40" s="2" t="s">
        <v>13</v>
      </c>
      <c r="E40" s="2" t="s">
        <v>28</v>
      </c>
      <c r="F40" s="12">
        <v>8681175</v>
      </c>
      <c r="G40" s="13">
        <v>33066.6</v>
      </c>
      <c r="H40" s="14">
        <v>6.5286448020000004E-3</v>
      </c>
      <c r="I40" s="13" t="s">
        <v>13</v>
      </c>
      <c r="J40" s="10" t="s">
        <v>13</v>
      </c>
    </row>
    <row r="41" spans="2:10" ht="15" customHeight="1" x14ac:dyDescent="0.2">
      <c r="B41" s="11" t="s">
        <v>97</v>
      </c>
      <c r="C41" s="2" t="s">
        <v>98</v>
      </c>
      <c r="D41" s="2" t="s">
        <v>13</v>
      </c>
      <c r="E41" s="2" t="s">
        <v>99</v>
      </c>
      <c r="F41" s="12">
        <v>1193038</v>
      </c>
      <c r="G41" s="13">
        <v>32162.51</v>
      </c>
      <c r="H41" s="14">
        <v>6.3501419477000002E-3</v>
      </c>
      <c r="I41" s="13" t="s">
        <v>13</v>
      </c>
      <c r="J41" s="10" t="s">
        <v>13</v>
      </c>
    </row>
    <row r="42" spans="2:10" ht="15" customHeight="1" x14ac:dyDescent="0.2">
      <c r="B42" s="11" t="s">
        <v>100</v>
      </c>
      <c r="C42" s="2" t="s">
        <v>101</v>
      </c>
      <c r="D42" s="2" t="s">
        <v>13</v>
      </c>
      <c r="E42" s="2" t="s">
        <v>36</v>
      </c>
      <c r="F42" s="12">
        <v>1764991</v>
      </c>
      <c r="G42" s="13">
        <v>31170.62</v>
      </c>
      <c r="H42" s="14">
        <v>6.1543039270999999E-3</v>
      </c>
      <c r="I42" s="13" t="s">
        <v>13</v>
      </c>
      <c r="J42" s="10" t="s">
        <v>13</v>
      </c>
    </row>
    <row r="43" spans="2:10" ht="15" customHeight="1" x14ac:dyDescent="0.2">
      <c r="B43" s="11" t="s">
        <v>102</v>
      </c>
      <c r="C43" s="2" t="s">
        <v>103</v>
      </c>
      <c r="D43" s="2" t="s">
        <v>13</v>
      </c>
      <c r="E43" s="2" t="s">
        <v>22</v>
      </c>
      <c r="F43" s="12">
        <v>3661577</v>
      </c>
      <c r="G43" s="13">
        <v>30539.38</v>
      </c>
      <c r="H43" s="14">
        <v>6.0296723731000004E-3</v>
      </c>
      <c r="I43" s="13" t="s">
        <v>13</v>
      </c>
      <c r="J43" s="10" t="s">
        <v>13</v>
      </c>
    </row>
    <row r="44" spans="2:10" ht="15" customHeight="1" x14ac:dyDescent="0.2">
      <c r="B44" s="11" t="s">
        <v>104</v>
      </c>
      <c r="C44" s="2" t="s">
        <v>105</v>
      </c>
      <c r="D44" s="2" t="s">
        <v>13</v>
      </c>
      <c r="E44" s="2" t="s">
        <v>106</v>
      </c>
      <c r="F44" s="12">
        <v>1584796</v>
      </c>
      <c r="G44" s="13">
        <v>30452.65</v>
      </c>
      <c r="H44" s="14">
        <v>6.0125484667000002E-3</v>
      </c>
      <c r="I44" s="13" t="s">
        <v>13</v>
      </c>
      <c r="J44" s="10" t="s">
        <v>13</v>
      </c>
    </row>
    <row r="45" spans="2:10" ht="15" customHeight="1" x14ac:dyDescent="0.2">
      <c r="B45" s="11" t="s">
        <v>107</v>
      </c>
      <c r="C45" s="2" t="s">
        <v>108</v>
      </c>
      <c r="D45" s="2" t="s">
        <v>13</v>
      </c>
      <c r="E45" s="2" t="s">
        <v>109</v>
      </c>
      <c r="F45" s="12">
        <v>4287131</v>
      </c>
      <c r="G45" s="13">
        <v>29411.86</v>
      </c>
      <c r="H45" s="14">
        <v>5.8070556666000002E-3</v>
      </c>
      <c r="I45" s="13" t="s">
        <v>13</v>
      </c>
      <c r="J45" s="10" t="s">
        <v>13</v>
      </c>
    </row>
    <row r="46" spans="2:10" ht="15" customHeight="1" x14ac:dyDescent="0.2">
      <c r="B46" s="11" t="s">
        <v>110</v>
      </c>
      <c r="C46" s="2" t="s">
        <v>111</v>
      </c>
      <c r="D46" s="2" t="s">
        <v>13</v>
      </c>
      <c r="E46" s="2" t="s">
        <v>112</v>
      </c>
      <c r="F46" s="12">
        <v>5609140</v>
      </c>
      <c r="G46" s="13">
        <v>29119.85</v>
      </c>
      <c r="H46" s="14">
        <v>5.7494014303E-3</v>
      </c>
      <c r="I46" s="13" t="s">
        <v>13</v>
      </c>
      <c r="J46" s="10" t="s">
        <v>13</v>
      </c>
    </row>
    <row r="47" spans="2:10" ht="15" customHeight="1" x14ac:dyDescent="0.2">
      <c r="B47" s="11" t="s">
        <v>113</v>
      </c>
      <c r="C47" s="2" t="s">
        <v>114</v>
      </c>
      <c r="D47" s="2" t="s">
        <v>13</v>
      </c>
      <c r="E47" s="2" t="s">
        <v>39</v>
      </c>
      <c r="F47" s="12">
        <v>9641022</v>
      </c>
      <c r="G47" s="13">
        <v>28807.37</v>
      </c>
      <c r="H47" s="14">
        <v>5.6877056125999997E-3</v>
      </c>
      <c r="I47" s="13" t="s">
        <v>13</v>
      </c>
      <c r="J47" s="10" t="s">
        <v>13</v>
      </c>
    </row>
    <row r="48" spans="2:10" ht="15" customHeight="1" x14ac:dyDescent="0.2">
      <c r="B48" s="11" t="s">
        <v>115</v>
      </c>
      <c r="C48" s="2" t="s">
        <v>116</v>
      </c>
      <c r="D48" s="2" t="s">
        <v>13</v>
      </c>
      <c r="E48" s="2" t="s">
        <v>117</v>
      </c>
      <c r="F48" s="12">
        <v>15783300</v>
      </c>
      <c r="G48" s="13">
        <v>28559.88</v>
      </c>
      <c r="H48" s="14">
        <v>5.6388413718E-3</v>
      </c>
      <c r="I48" s="13" t="s">
        <v>13</v>
      </c>
      <c r="J48" s="10" t="s">
        <v>13</v>
      </c>
    </row>
    <row r="49" spans="2:10" ht="15" customHeight="1" x14ac:dyDescent="0.2">
      <c r="B49" s="11" t="s">
        <v>118</v>
      </c>
      <c r="C49" s="2" t="s">
        <v>119</v>
      </c>
      <c r="D49" s="2" t="s">
        <v>13</v>
      </c>
      <c r="E49" s="2" t="s">
        <v>99</v>
      </c>
      <c r="F49" s="12">
        <v>109262</v>
      </c>
      <c r="G49" s="13">
        <v>27394.33</v>
      </c>
      <c r="H49" s="14">
        <v>5.4087160505999999E-3</v>
      </c>
      <c r="I49" s="13" t="s">
        <v>13</v>
      </c>
      <c r="J49" s="10" t="s">
        <v>13</v>
      </c>
    </row>
    <row r="50" spans="2:10" ht="15" customHeight="1" x14ac:dyDescent="0.2">
      <c r="B50" s="11" t="s">
        <v>120</v>
      </c>
      <c r="C50" s="2" t="s">
        <v>121</v>
      </c>
      <c r="D50" s="2" t="s">
        <v>13</v>
      </c>
      <c r="E50" s="2" t="s">
        <v>122</v>
      </c>
      <c r="F50" s="12">
        <v>4796426</v>
      </c>
      <c r="G50" s="13">
        <v>26555.41</v>
      </c>
      <c r="H50" s="14">
        <v>5.2430803124999996E-3</v>
      </c>
      <c r="I50" s="13" t="s">
        <v>13</v>
      </c>
      <c r="J50" s="10" t="s">
        <v>13</v>
      </c>
    </row>
    <row r="51" spans="2:10" ht="15" customHeight="1" x14ac:dyDescent="0.2">
      <c r="B51" s="11" t="s">
        <v>123</v>
      </c>
      <c r="C51" s="2" t="s">
        <v>124</v>
      </c>
      <c r="D51" s="2" t="s">
        <v>13</v>
      </c>
      <c r="E51" s="2" t="s">
        <v>39</v>
      </c>
      <c r="F51" s="12">
        <v>2071623</v>
      </c>
      <c r="G51" s="13">
        <v>26395.58</v>
      </c>
      <c r="H51" s="14">
        <v>5.2115235967000002E-3</v>
      </c>
      <c r="I51" s="13" t="s">
        <v>13</v>
      </c>
      <c r="J51" s="10" t="s">
        <v>13</v>
      </c>
    </row>
    <row r="52" spans="2:10" ht="15" customHeight="1" x14ac:dyDescent="0.2">
      <c r="B52" s="11" t="s">
        <v>125</v>
      </c>
      <c r="C52" s="2" t="s">
        <v>126</v>
      </c>
      <c r="D52" s="2" t="s">
        <v>13</v>
      </c>
      <c r="E52" s="2" t="s">
        <v>28</v>
      </c>
      <c r="F52" s="12">
        <v>7842658</v>
      </c>
      <c r="G52" s="13">
        <v>24371.06</v>
      </c>
      <c r="H52" s="14">
        <v>4.8118038801999996E-3</v>
      </c>
      <c r="I52" s="13" t="s">
        <v>13</v>
      </c>
      <c r="J52" s="10" t="s">
        <v>13</v>
      </c>
    </row>
    <row r="53" spans="2:10" ht="15" customHeight="1" x14ac:dyDescent="0.2">
      <c r="B53" s="11" t="s">
        <v>127</v>
      </c>
      <c r="C53" s="2" t="s">
        <v>128</v>
      </c>
      <c r="D53" s="2" t="s">
        <v>13</v>
      </c>
      <c r="E53" s="2" t="s">
        <v>99</v>
      </c>
      <c r="F53" s="12">
        <v>999697</v>
      </c>
      <c r="G53" s="13">
        <v>23196.97</v>
      </c>
      <c r="H53" s="14">
        <v>4.5799924277000002E-3</v>
      </c>
      <c r="I53" s="13" t="s">
        <v>13</v>
      </c>
      <c r="J53" s="10" t="s">
        <v>13</v>
      </c>
    </row>
    <row r="54" spans="2:10" ht="15" customHeight="1" x14ac:dyDescent="0.2">
      <c r="B54" s="11" t="s">
        <v>129</v>
      </c>
      <c r="C54" s="2" t="s">
        <v>130</v>
      </c>
      <c r="D54" s="2" t="s">
        <v>13</v>
      </c>
      <c r="E54" s="2" t="s">
        <v>117</v>
      </c>
      <c r="F54" s="12">
        <v>3829890</v>
      </c>
      <c r="G54" s="13">
        <v>19026.89</v>
      </c>
      <c r="H54" s="14">
        <v>3.7566549477E-3</v>
      </c>
      <c r="I54" s="13" t="s">
        <v>13</v>
      </c>
      <c r="J54" s="10" t="s">
        <v>13</v>
      </c>
    </row>
    <row r="55" spans="2:10" ht="15" customHeight="1" x14ac:dyDescent="0.2">
      <c r="B55" s="11" t="s">
        <v>131</v>
      </c>
      <c r="C55" s="2" t="s">
        <v>132</v>
      </c>
      <c r="D55" s="2" t="s">
        <v>13</v>
      </c>
      <c r="E55" s="2" t="s">
        <v>133</v>
      </c>
      <c r="F55" s="12">
        <v>2913816</v>
      </c>
      <c r="G55" s="13">
        <v>18215.72</v>
      </c>
      <c r="H55" s="14">
        <v>3.5964981489E-3</v>
      </c>
      <c r="I55" s="13" t="s">
        <v>13</v>
      </c>
      <c r="J55" s="10" t="s">
        <v>13</v>
      </c>
    </row>
    <row r="56" spans="2:10" ht="15" customHeight="1" x14ac:dyDescent="0.2">
      <c r="B56" s="11" t="s">
        <v>134</v>
      </c>
      <c r="C56" s="2" t="s">
        <v>135</v>
      </c>
      <c r="D56" s="2" t="s">
        <v>13</v>
      </c>
      <c r="E56" s="2" t="s">
        <v>136</v>
      </c>
      <c r="F56" s="12">
        <v>800000</v>
      </c>
      <c r="G56" s="13">
        <v>18103.599999999999</v>
      </c>
      <c r="H56" s="14">
        <v>3.5743612598999998E-3</v>
      </c>
      <c r="I56" s="13" t="s">
        <v>13</v>
      </c>
      <c r="J56" s="10" t="s">
        <v>13</v>
      </c>
    </row>
    <row r="57" spans="2:10" ht="15" customHeight="1" x14ac:dyDescent="0.2">
      <c r="B57" s="11" t="s">
        <v>137</v>
      </c>
      <c r="C57" s="2" t="s">
        <v>138</v>
      </c>
      <c r="D57" s="2" t="s">
        <v>13</v>
      </c>
      <c r="E57" s="2" t="s">
        <v>62</v>
      </c>
      <c r="F57" s="12">
        <v>1928707</v>
      </c>
      <c r="G57" s="13">
        <v>17802.93</v>
      </c>
      <c r="H57" s="14">
        <v>3.5149971997000002E-3</v>
      </c>
      <c r="I57" s="13" t="s">
        <v>13</v>
      </c>
      <c r="J57" s="10" t="s">
        <v>13</v>
      </c>
    </row>
    <row r="58" spans="2:10" ht="15" customHeight="1" x14ac:dyDescent="0.2">
      <c r="B58" s="11" t="s">
        <v>139</v>
      </c>
      <c r="C58" s="2" t="s">
        <v>140</v>
      </c>
      <c r="D58" s="2" t="s">
        <v>13</v>
      </c>
      <c r="E58" s="2" t="s">
        <v>83</v>
      </c>
      <c r="F58" s="12">
        <v>9555375</v>
      </c>
      <c r="G58" s="13">
        <v>17359.25</v>
      </c>
      <c r="H58" s="14">
        <v>3.4273973519E-3</v>
      </c>
      <c r="I58" s="13" t="s">
        <v>13</v>
      </c>
      <c r="J58" s="10" t="s">
        <v>13</v>
      </c>
    </row>
    <row r="59" spans="2:10" ht="15" customHeight="1" x14ac:dyDescent="0.2">
      <c r="B59" s="11" t="s">
        <v>141</v>
      </c>
      <c r="C59" s="2" t="s">
        <v>142</v>
      </c>
      <c r="D59" s="2" t="s">
        <v>13</v>
      </c>
      <c r="E59" s="2" t="s">
        <v>143</v>
      </c>
      <c r="F59" s="12">
        <v>3796851</v>
      </c>
      <c r="G59" s="13">
        <v>17163.66</v>
      </c>
      <c r="H59" s="14">
        <v>3.3887802084E-3</v>
      </c>
      <c r="I59" s="13" t="s">
        <v>13</v>
      </c>
      <c r="J59" s="10" t="s">
        <v>13</v>
      </c>
    </row>
    <row r="60" spans="2:10" ht="15" customHeight="1" x14ac:dyDescent="0.2">
      <c r="B60" s="11" t="s">
        <v>144</v>
      </c>
      <c r="C60" s="2" t="s">
        <v>145</v>
      </c>
      <c r="D60" s="2" t="s">
        <v>13</v>
      </c>
      <c r="E60" s="2" t="s">
        <v>17</v>
      </c>
      <c r="F60" s="12">
        <v>2804497</v>
      </c>
      <c r="G60" s="13">
        <v>16618.05</v>
      </c>
      <c r="H60" s="14">
        <v>3.2810553776E-3</v>
      </c>
      <c r="I60" s="13" t="s">
        <v>13</v>
      </c>
      <c r="J60" s="10" t="s">
        <v>13</v>
      </c>
    </row>
    <row r="61" spans="2:10" ht="15" customHeight="1" x14ac:dyDescent="0.2">
      <c r="B61" s="11" t="s">
        <v>146</v>
      </c>
      <c r="C61" s="2" t="s">
        <v>147</v>
      </c>
      <c r="D61" s="2" t="s">
        <v>13</v>
      </c>
      <c r="E61" s="2" t="s">
        <v>148</v>
      </c>
      <c r="F61" s="12">
        <v>1854292</v>
      </c>
      <c r="G61" s="13">
        <v>15951.55</v>
      </c>
      <c r="H61" s="14">
        <v>3.1494621155000002E-3</v>
      </c>
      <c r="I61" s="13" t="s">
        <v>13</v>
      </c>
      <c r="J61" s="10" t="s">
        <v>13</v>
      </c>
    </row>
    <row r="62" spans="2:10" ht="15" customHeight="1" x14ac:dyDescent="0.2">
      <c r="B62" s="11" t="s">
        <v>149</v>
      </c>
      <c r="C62" s="2" t="s">
        <v>150</v>
      </c>
      <c r="D62" s="2" t="s">
        <v>13</v>
      </c>
      <c r="E62" s="2" t="s">
        <v>151</v>
      </c>
      <c r="F62" s="12">
        <v>3434989</v>
      </c>
      <c r="G62" s="13">
        <v>15940.07</v>
      </c>
      <c r="H62" s="14">
        <v>3.1471955129E-3</v>
      </c>
      <c r="I62" s="13" t="s">
        <v>13</v>
      </c>
      <c r="J62" s="10" t="s">
        <v>13</v>
      </c>
    </row>
    <row r="63" spans="2:10" ht="15" customHeight="1" x14ac:dyDescent="0.2">
      <c r="B63" s="11" t="s">
        <v>152</v>
      </c>
      <c r="C63" s="2" t="s">
        <v>153</v>
      </c>
      <c r="D63" s="2" t="s">
        <v>13</v>
      </c>
      <c r="E63" s="2" t="s">
        <v>99</v>
      </c>
      <c r="F63" s="12">
        <v>4493005</v>
      </c>
      <c r="G63" s="13">
        <v>15846.83</v>
      </c>
      <c r="H63" s="14">
        <v>3.1287862769999999E-3</v>
      </c>
      <c r="I63" s="13" t="s">
        <v>13</v>
      </c>
      <c r="J63" s="10" t="s">
        <v>13</v>
      </c>
    </row>
    <row r="64" spans="2:10" ht="15" customHeight="1" x14ac:dyDescent="0.2">
      <c r="B64" s="11" t="s">
        <v>154</v>
      </c>
      <c r="C64" s="2" t="s">
        <v>155</v>
      </c>
      <c r="D64" s="2" t="s">
        <v>13</v>
      </c>
      <c r="E64" s="2" t="s">
        <v>156</v>
      </c>
      <c r="F64" s="12">
        <v>7085000</v>
      </c>
      <c r="G64" s="13">
        <v>14749.55</v>
      </c>
      <c r="H64" s="14">
        <v>2.9121401334999998E-3</v>
      </c>
      <c r="I64" s="13" t="s">
        <v>13</v>
      </c>
      <c r="J64" s="10" t="s">
        <v>13</v>
      </c>
    </row>
    <row r="65" spans="2:10" ht="15" customHeight="1" x14ac:dyDescent="0.2">
      <c r="B65" s="11" t="s">
        <v>157</v>
      </c>
      <c r="C65" s="2" t="s">
        <v>158</v>
      </c>
      <c r="D65" s="2" t="s">
        <v>13</v>
      </c>
      <c r="E65" s="2" t="s">
        <v>62</v>
      </c>
      <c r="F65" s="12">
        <v>816314</v>
      </c>
      <c r="G65" s="13">
        <v>13241.84</v>
      </c>
      <c r="H65" s="14">
        <v>2.6144589973999999E-3</v>
      </c>
      <c r="I65" s="13" t="s">
        <v>13</v>
      </c>
      <c r="J65" s="10" t="s">
        <v>13</v>
      </c>
    </row>
    <row r="66" spans="2:10" ht="15" customHeight="1" x14ac:dyDescent="0.2">
      <c r="B66" s="11" t="s">
        <v>159</v>
      </c>
      <c r="C66" s="2" t="s">
        <v>160</v>
      </c>
      <c r="D66" s="2" t="s">
        <v>13</v>
      </c>
      <c r="E66" s="2" t="s">
        <v>17</v>
      </c>
      <c r="F66" s="12">
        <v>6355000</v>
      </c>
      <c r="G66" s="13">
        <v>12958.48</v>
      </c>
      <c r="H66" s="14">
        <v>2.5585126106999999E-3</v>
      </c>
      <c r="I66" s="13" t="s">
        <v>13</v>
      </c>
      <c r="J66" s="10" t="s">
        <v>13</v>
      </c>
    </row>
    <row r="67" spans="2:10" ht="15" customHeight="1" x14ac:dyDescent="0.2">
      <c r="B67" s="11" t="s">
        <v>161</v>
      </c>
      <c r="C67" s="2" t="s">
        <v>162</v>
      </c>
      <c r="D67" s="2" t="s">
        <v>13</v>
      </c>
      <c r="E67" s="2" t="s">
        <v>163</v>
      </c>
      <c r="F67" s="12">
        <v>2254373</v>
      </c>
      <c r="G67" s="13">
        <v>12173.61</v>
      </c>
      <c r="H67" s="14">
        <v>2.4035484642000002E-3</v>
      </c>
      <c r="I67" s="13" t="s">
        <v>13</v>
      </c>
      <c r="J67" s="10" t="s">
        <v>13</v>
      </c>
    </row>
    <row r="68" spans="2:10" ht="15" customHeight="1" x14ac:dyDescent="0.2">
      <c r="B68" s="11" t="s">
        <v>164</v>
      </c>
      <c r="C68" s="2" t="s">
        <v>165</v>
      </c>
      <c r="D68" s="2" t="s">
        <v>13</v>
      </c>
      <c r="E68" s="2" t="s">
        <v>42</v>
      </c>
      <c r="F68" s="12">
        <v>780000</v>
      </c>
      <c r="G68" s="13">
        <v>12103.65</v>
      </c>
      <c r="H68" s="14">
        <v>2.3897356141000001E-3</v>
      </c>
      <c r="I68" s="13" t="s">
        <v>13</v>
      </c>
      <c r="J68" s="10" t="s">
        <v>13</v>
      </c>
    </row>
    <row r="69" spans="2:10" ht="15" customHeight="1" x14ac:dyDescent="0.2">
      <c r="B69" s="11" t="s">
        <v>166</v>
      </c>
      <c r="C69" s="2" t="s">
        <v>167</v>
      </c>
      <c r="D69" s="2" t="s">
        <v>13</v>
      </c>
      <c r="E69" s="2" t="s">
        <v>99</v>
      </c>
      <c r="F69" s="12">
        <v>1986179</v>
      </c>
      <c r="G69" s="13">
        <v>11530.76</v>
      </c>
      <c r="H69" s="14">
        <v>2.2766246404000001E-3</v>
      </c>
      <c r="I69" s="13" t="s">
        <v>13</v>
      </c>
      <c r="J69" s="10" t="s">
        <v>13</v>
      </c>
    </row>
    <row r="70" spans="2:10" ht="15" customHeight="1" x14ac:dyDescent="0.2">
      <c r="B70" s="11" t="s">
        <v>168</v>
      </c>
      <c r="C70" s="2" t="s">
        <v>169</v>
      </c>
      <c r="D70" s="2" t="s">
        <v>13</v>
      </c>
      <c r="E70" s="2" t="s">
        <v>170</v>
      </c>
      <c r="F70" s="12">
        <v>306889</v>
      </c>
      <c r="G70" s="13">
        <v>11293.36</v>
      </c>
      <c r="H70" s="14">
        <v>2.2297525618E-3</v>
      </c>
      <c r="I70" s="13" t="s">
        <v>13</v>
      </c>
      <c r="J70" s="10" t="s">
        <v>13</v>
      </c>
    </row>
    <row r="71" spans="2:10" ht="15" customHeight="1" x14ac:dyDescent="0.2">
      <c r="B71" s="11" t="s">
        <v>171</v>
      </c>
      <c r="C71" s="2" t="s">
        <v>172</v>
      </c>
      <c r="D71" s="2" t="s">
        <v>13</v>
      </c>
      <c r="E71" s="2" t="s">
        <v>94</v>
      </c>
      <c r="F71" s="12">
        <v>2000000</v>
      </c>
      <c r="G71" s="13">
        <v>10736</v>
      </c>
      <c r="H71" s="14">
        <v>2.1197078198000002E-3</v>
      </c>
      <c r="I71" s="13" t="s">
        <v>13</v>
      </c>
      <c r="J71" s="10" t="s">
        <v>13</v>
      </c>
    </row>
    <row r="72" spans="2:10" ht="15" customHeight="1" x14ac:dyDescent="0.2">
      <c r="B72" s="11" t="s">
        <v>173</v>
      </c>
      <c r="C72" s="2" t="s">
        <v>174</v>
      </c>
      <c r="D72" s="2" t="s">
        <v>13</v>
      </c>
      <c r="E72" s="2" t="s">
        <v>31</v>
      </c>
      <c r="F72" s="12">
        <v>1626000</v>
      </c>
      <c r="G72" s="13">
        <v>10260.870000000001</v>
      </c>
      <c r="H72" s="14">
        <v>2.0258985074999999E-3</v>
      </c>
      <c r="I72" s="13" t="s">
        <v>13</v>
      </c>
      <c r="J72" s="10" t="s">
        <v>13</v>
      </c>
    </row>
    <row r="73" spans="2:10" ht="15" customHeight="1" x14ac:dyDescent="0.2">
      <c r="B73" s="11" t="s">
        <v>175</v>
      </c>
      <c r="C73" s="2" t="s">
        <v>176</v>
      </c>
      <c r="D73" s="2" t="s">
        <v>13</v>
      </c>
      <c r="E73" s="2" t="s">
        <v>170</v>
      </c>
      <c r="F73" s="12">
        <v>260574</v>
      </c>
      <c r="G73" s="13">
        <v>9953.2800000000007</v>
      </c>
      <c r="H73" s="14">
        <v>1.9651681676999999E-3</v>
      </c>
      <c r="I73" s="13" t="s">
        <v>13</v>
      </c>
      <c r="J73" s="10" t="s">
        <v>13</v>
      </c>
    </row>
    <row r="74" spans="2:10" ht="15" customHeight="1" x14ac:dyDescent="0.2">
      <c r="B74" s="11" t="s">
        <v>177</v>
      </c>
      <c r="C74" s="2" t="s">
        <v>178</v>
      </c>
      <c r="D74" s="2" t="s">
        <v>13</v>
      </c>
      <c r="E74" s="2" t="s">
        <v>42</v>
      </c>
      <c r="F74" s="12">
        <v>2675000</v>
      </c>
      <c r="G74" s="13">
        <v>8455.68</v>
      </c>
      <c r="H74" s="14">
        <v>1.6694831424E-3</v>
      </c>
      <c r="I74" s="13" t="s">
        <v>13</v>
      </c>
      <c r="J74" s="10" t="s">
        <v>13</v>
      </c>
    </row>
    <row r="75" spans="2:10" ht="15" customHeight="1" x14ac:dyDescent="0.2">
      <c r="B75" s="11" t="s">
        <v>179</v>
      </c>
      <c r="C75" s="2" t="s">
        <v>180</v>
      </c>
      <c r="D75" s="2" t="s">
        <v>13</v>
      </c>
      <c r="E75" s="2" t="s">
        <v>181</v>
      </c>
      <c r="F75" s="12">
        <v>490169</v>
      </c>
      <c r="G75" s="13">
        <v>7696.63</v>
      </c>
      <c r="H75" s="14">
        <v>1.5196168775000001E-3</v>
      </c>
      <c r="I75" s="13" t="s">
        <v>13</v>
      </c>
      <c r="J75" s="10" t="s">
        <v>13</v>
      </c>
    </row>
    <row r="76" spans="2:10" ht="15" customHeight="1" x14ac:dyDescent="0.2">
      <c r="B76" s="11" t="s">
        <v>182</v>
      </c>
      <c r="C76" s="2" t="s">
        <v>183</v>
      </c>
      <c r="D76" s="2" t="s">
        <v>13</v>
      </c>
      <c r="E76" s="2" t="s">
        <v>117</v>
      </c>
      <c r="F76" s="12">
        <v>11792780</v>
      </c>
      <c r="G76" s="13">
        <v>7405.87</v>
      </c>
      <c r="H76" s="14">
        <v>1.4622094402999999E-3</v>
      </c>
      <c r="I76" s="13" t="s">
        <v>13</v>
      </c>
      <c r="J76" s="10" t="s">
        <v>13</v>
      </c>
    </row>
    <row r="77" spans="2:10" ht="15" customHeight="1" x14ac:dyDescent="0.2">
      <c r="B77" s="11" t="s">
        <v>184</v>
      </c>
      <c r="C77" s="2" t="s">
        <v>185</v>
      </c>
      <c r="D77" s="2" t="s">
        <v>13</v>
      </c>
      <c r="E77" s="2" t="s">
        <v>31</v>
      </c>
      <c r="F77" s="12">
        <v>2543042</v>
      </c>
      <c r="G77" s="13">
        <v>6881.47</v>
      </c>
      <c r="H77" s="14">
        <v>1.3586722959999999E-3</v>
      </c>
      <c r="I77" s="13" t="s">
        <v>13</v>
      </c>
      <c r="J77" s="10" t="s">
        <v>13</v>
      </c>
    </row>
    <row r="78" spans="2:10" ht="15" customHeight="1" x14ac:dyDescent="0.2">
      <c r="B78" s="11" t="s">
        <v>186</v>
      </c>
      <c r="C78" s="2" t="s">
        <v>187</v>
      </c>
      <c r="D78" s="2" t="s">
        <v>13</v>
      </c>
      <c r="E78" s="2" t="s">
        <v>181</v>
      </c>
      <c r="F78" s="12">
        <v>5563369</v>
      </c>
      <c r="G78" s="13">
        <v>6795.66</v>
      </c>
      <c r="H78" s="14">
        <v>1.3417300337E-3</v>
      </c>
      <c r="I78" s="13" t="s">
        <v>13</v>
      </c>
      <c r="J78" s="10" t="s">
        <v>13</v>
      </c>
    </row>
    <row r="79" spans="2:10" ht="15" customHeight="1" x14ac:dyDescent="0.2">
      <c r="B79" s="11" t="s">
        <v>188</v>
      </c>
      <c r="C79" s="2" t="s">
        <v>189</v>
      </c>
      <c r="D79" s="2" t="s">
        <v>13</v>
      </c>
      <c r="E79" s="2" t="s">
        <v>62</v>
      </c>
      <c r="F79" s="12">
        <v>1339278</v>
      </c>
      <c r="G79" s="13">
        <v>6749.29</v>
      </c>
      <c r="H79" s="14">
        <v>1.3325747756E-3</v>
      </c>
      <c r="I79" s="13" t="s">
        <v>13</v>
      </c>
      <c r="J79" s="10" t="s">
        <v>13</v>
      </c>
    </row>
    <row r="80" spans="2:10" ht="15" customHeight="1" x14ac:dyDescent="0.2">
      <c r="B80" s="11" t="s">
        <v>190</v>
      </c>
      <c r="C80" s="2" t="s">
        <v>191</v>
      </c>
      <c r="D80" s="2" t="s">
        <v>13</v>
      </c>
      <c r="E80" s="2" t="s">
        <v>133</v>
      </c>
      <c r="F80" s="12">
        <v>1318742</v>
      </c>
      <c r="G80" s="13">
        <v>6316.77</v>
      </c>
      <c r="H80" s="14">
        <v>1.2471783499000001E-3</v>
      </c>
      <c r="I80" s="13" t="s">
        <v>13</v>
      </c>
      <c r="J80" s="10" t="s">
        <v>13</v>
      </c>
    </row>
    <row r="81" spans="2:10" ht="15" customHeight="1" x14ac:dyDescent="0.2">
      <c r="B81" s="11" t="s">
        <v>192</v>
      </c>
      <c r="C81" s="2" t="s">
        <v>193</v>
      </c>
      <c r="D81" s="2" t="s">
        <v>13</v>
      </c>
      <c r="E81" s="2" t="s">
        <v>83</v>
      </c>
      <c r="F81" s="12">
        <v>866670</v>
      </c>
      <c r="G81" s="13">
        <v>5779.39</v>
      </c>
      <c r="H81" s="14">
        <v>1.1410784441000001E-3</v>
      </c>
      <c r="I81" s="13" t="s">
        <v>13</v>
      </c>
      <c r="J81" s="10" t="s">
        <v>13</v>
      </c>
    </row>
    <row r="82" spans="2:10" ht="15" customHeight="1" x14ac:dyDescent="0.2">
      <c r="B82" s="11" t="s">
        <v>194</v>
      </c>
      <c r="C82" s="2" t="s">
        <v>195</v>
      </c>
      <c r="D82" s="2" t="s">
        <v>13</v>
      </c>
      <c r="E82" s="2" t="s">
        <v>196</v>
      </c>
      <c r="F82" s="12">
        <v>1767451</v>
      </c>
      <c r="G82" s="13">
        <v>5715.94</v>
      </c>
      <c r="H82" s="14">
        <v>1.1285509235000001E-3</v>
      </c>
      <c r="I82" s="13" t="s">
        <v>13</v>
      </c>
      <c r="J82" s="10" t="s">
        <v>13</v>
      </c>
    </row>
    <row r="83" spans="2:10" ht="15" customHeight="1" x14ac:dyDescent="0.2">
      <c r="B83" s="11" t="s">
        <v>197</v>
      </c>
      <c r="C83" s="2" t="s">
        <v>198</v>
      </c>
      <c r="D83" s="2" t="s">
        <v>13</v>
      </c>
      <c r="E83" s="2" t="s">
        <v>42</v>
      </c>
      <c r="F83" s="12">
        <v>355550</v>
      </c>
      <c r="G83" s="13">
        <v>5648.98</v>
      </c>
      <c r="H83" s="14">
        <v>1.1153303910999999E-3</v>
      </c>
      <c r="I83" s="13" t="s">
        <v>13</v>
      </c>
      <c r="J83" s="10" t="s">
        <v>13</v>
      </c>
    </row>
    <row r="84" spans="2:10" ht="15" customHeight="1" x14ac:dyDescent="0.2">
      <c r="B84" s="11" t="s">
        <v>199</v>
      </c>
      <c r="C84" s="2" t="s">
        <v>200</v>
      </c>
      <c r="D84" s="2" t="s">
        <v>13</v>
      </c>
      <c r="E84" s="2" t="s">
        <v>170</v>
      </c>
      <c r="F84" s="12">
        <v>114649</v>
      </c>
      <c r="G84" s="13">
        <v>4928.93</v>
      </c>
      <c r="H84" s="14">
        <v>9.7316425710000003E-4</v>
      </c>
      <c r="I84" s="13" t="s">
        <v>13</v>
      </c>
      <c r="J84" s="10" t="s">
        <v>13</v>
      </c>
    </row>
    <row r="85" spans="2:10" ht="15" customHeight="1" x14ac:dyDescent="0.2">
      <c r="B85" s="11" t="s">
        <v>201</v>
      </c>
      <c r="C85" s="2" t="s">
        <v>202</v>
      </c>
      <c r="D85" s="2" t="s">
        <v>13</v>
      </c>
      <c r="E85" s="2" t="s">
        <v>78</v>
      </c>
      <c r="F85" s="12">
        <v>452377</v>
      </c>
      <c r="G85" s="13">
        <v>4359.33</v>
      </c>
      <c r="H85" s="14">
        <v>8.6070285859999999E-4</v>
      </c>
      <c r="I85" s="13" t="s">
        <v>13</v>
      </c>
      <c r="J85" s="10" t="s">
        <v>13</v>
      </c>
    </row>
    <row r="86" spans="2:10" ht="15" customHeight="1" x14ac:dyDescent="0.2">
      <c r="B86" s="11" t="s">
        <v>203</v>
      </c>
      <c r="C86" s="2" t="s">
        <v>204</v>
      </c>
      <c r="D86" s="2" t="s">
        <v>13</v>
      </c>
      <c r="E86" s="2" t="s">
        <v>181</v>
      </c>
      <c r="F86" s="12">
        <v>1593694</v>
      </c>
      <c r="G86" s="13">
        <v>3048.58</v>
      </c>
      <c r="H86" s="14">
        <v>6.0190935770000002E-4</v>
      </c>
      <c r="I86" s="13" t="s">
        <v>13</v>
      </c>
      <c r="J86" s="10" t="s">
        <v>13</v>
      </c>
    </row>
    <row r="87" spans="2:10" ht="15" customHeight="1" x14ac:dyDescent="0.2">
      <c r="B87" s="11" t="s">
        <v>205</v>
      </c>
      <c r="C87" s="2" t="s">
        <v>206</v>
      </c>
      <c r="D87" s="2" t="s">
        <v>13</v>
      </c>
      <c r="E87" s="2" t="s">
        <v>99</v>
      </c>
      <c r="F87" s="12">
        <v>1216705</v>
      </c>
      <c r="G87" s="13">
        <v>2817.65</v>
      </c>
      <c r="H87" s="14">
        <v>5.5631471109999998E-4</v>
      </c>
      <c r="I87" s="13" t="s">
        <v>13</v>
      </c>
      <c r="J87" s="10" t="s">
        <v>13</v>
      </c>
    </row>
    <row r="88" spans="2:10" ht="15" customHeight="1" x14ac:dyDescent="0.2">
      <c r="B88" s="11" t="s">
        <v>13</v>
      </c>
      <c r="J88" s="10" t="s">
        <v>13</v>
      </c>
    </row>
    <row r="89" spans="2:10" ht="15" customHeight="1" x14ac:dyDescent="0.2">
      <c r="B89" s="6" t="s">
        <v>210</v>
      </c>
      <c r="C89" s="7" t="s">
        <v>13</v>
      </c>
      <c r="D89" s="8" t="s">
        <v>13</v>
      </c>
      <c r="E89" s="7" t="s">
        <v>13</v>
      </c>
      <c r="F89" s="8" t="s">
        <v>13</v>
      </c>
      <c r="G89" s="8">
        <v>31719.91</v>
      </c>
      <c r="H89" s="9">
        <f>G89*H220/G220</f>
        <v>6.2627553343763426E-3</v>
      </c>
      <c r="I89" s="8" t="s">
        <v>13</v>
      </c>
      <c r="J89" s="10" t="s">
        <v>13</v>
      </c>
    </row>
    <row r="90" spans="2:10" ht="15" customHeight="1" x14ac:dyDescent="0.2">
      <c r="B90" s="11" t="s">
        <v>211</v>
      </c>
      <c r="C90" s="2" t="s">
        <v>212</v>
      </c>
      <c r="D90" s="15">
        <v>7.5</v>
      </c>
      <c r="E90" s="2" t="s">
        <v>31</v>
      </c>
      <c r="F90" s="12">
        <v>12500</v>
      </c>
      <c r="G90" s="13">
        <v>13129.91</v>
      </c>
      <c r="H90" s="14">
        <v>2.5923596218394469E-3</v>
      </c>
      <c r="I90" s="13">
        <v>8.26</v>
      </c>
      <c r="J90" s="10" t="s">
        <v>13</v>
      </c>
    </row>
    <row r="91" spans="2:10" ht="15" customHeight="1" x14ac:dyDescent="0.2">
      <c r="B91" s="11" t="s">
        <v>213</v>
      </c>
      <c r="C91" s="2" t="s">
        <v>214</v>
      </c>
      <c r="D91" s="15">
        <v>6.5</v>
      </c>
      <c r="E91" s="2" t="s">
        <v>117</v>
      </c>
      <c r="F91" s="12">
        <v>18590</v>
      </c>
      <c r="G91" s="13">
        <v>18590</v>
      </c>
      <c r="H91" s="14">
        <v>3.6703957125368961E-3</v>
      </c>
      <c r="I91" s="13">
        <v>7.08</v>
      </c>
      <c r="J91" s="10"/>
    </row>
    <row r="92" spans="2:10" ht="15" customHeight="1" x14ac:dyDescent="0.2">
      <c r="B92" s="11" t="s">
        <v>13</v>
      </c>
      <c r="J92" s="10" t="s">
        <v>13</v>
      </c>
    </row>
    <row r="93" spans="2:10" ht="15" customHeight="1" x14ac:dyDescent="0.2">
      <c r="B93" s="6" t="s">
        <v>449</v>
      </c>
      <c r="G93" s="8">
        <v>2320.6999999999998</v>
      </c>
      <c r="H93" s="9">
        <v>4.5819727430000001E-4</v>
      </c>
      <c r="J93" s="10"/>
    </row>
    <row r="94" spans="2:10" ht="15" customHeight="1" x14ac:dyDescent="0.2">
      <c r="B94" s="11" t="s">
        <v>207</v>
      </c>
      <c r="C94" s="2" t="s">
        <v>208</v>
      </c>
      <c r="D94" s="2" t="s">
        <v>13</v>
      </c>
      <c r="E94" s="2" t="s">
        <v>209</v>
      </c>
      <c r="F94" s="12">
        <v>37000</v>
      </c>
      <c r="G94" s="13">
        <v>2320.6999999999998</v>
      </c>
      <c r="H94" s="14">
        <v>4.5819727430000001E-4</v>
      </c>
      <c r="J94" s="10"/>
    </row>
    <row r="95" spans="2:10" ht="15" customHeight="1" x14ac:dyDescent="0.2">
      <c r="B95" s="11"/>
      <c r="J95" s="10"/>
    </row>
    <row r="96" spans="2:10" ht="15" customHeight="1" x14ac:dyDescent="0.2">
      <c r="B96" s="6" t="s">
        <v>215</v>
      </c>
      <c r="C96" s="7" t="s">
        <v>13</v>
      </c>
      <c r="D96" s="8" t="s">
        <v>13</v>
      </c>
      <c r="E96" s="7" t="s">
        <v>13</v>
      </c>
      <c r="F96" s="8" t="s">
        <v>13</v>
      </c>
      <c r="G96" s="8" t="s">
        <v>216</v>
      </c>
      <c r="H96" s="9" t="s">
        <v>216</v>
      </c>
      <c r="I96" s="8" t="s">
        <v>13</v>
      </c>
      <c r="J96" s="10" t="s">
        <v>13</v>
      </c>
    </row>
    <row r="97" spans="2:10" ht="15" customHeight="1" x14ac:dyDescent="0.2">
      <c r="B97" s="11" t="s">
        <v>13</v>
      </c>
      <c r="J97" s="10" t="s">
        <v>13</v>
      </c>
    </row>
    <row r="98" spans="2:10" ht="15" customHeight="1" x14ac:dyDescent="0.2">
      <c r="B98" s="6" t="s">
        <v>217</v>
      </c>
      <c r="C98" s="7" t="s">
        <v>13</v>
      </c>
      <c r="D98" s="8" t="s">
        <v>13</v>
      </c>
      <c r="E98" s="7" t="s">
        <v>13</v>
      </c>
      <c r="F98" s="8" t="s">
        <v>13</v>
      </c>
      <c r="G98" s="8">
        <v>446039.72999999986</v>
      </c>
      <c r="H98" s="9">
        <v>8.8065751080200011E-2</v>
      </c>
      <c r="I98" s="8" t="s">
        <v>13</v>
      </c>
      <c r="J98" s="10" t="s">
        <v>13</v>
      </c>
    </row>
    <row r="99" spans="2:10" ht="15" customHeight="1" x14ac:dyDescent="0.2">
      <c r="B99" s="11" t="s">
        <v>13</v>
      </c>
      <c r="J99" s="10" t="s">
        <v>13</v>
      </c>
    </row>
    <row r="100" spans="2:10" ht="15" customHeight="1" x14ac:dyDescent="0.2">
      <c r="B100" s="6" t="s">
        <v>14</v>
      </c>
      <c r="C100" s="7" t="s">
        <v>13</v>
      </c>
      <c r="D100" s="8" t="s">
        <v>13</v>
      </c>
      <c r="E100" s="7" t="s">
        <v>13</v>
      </c>
      <c r="F100" s="8" t="s">
        <v>13</v>
      </c>
      <c r="G100" s="8">
        <v>389173.45999999996</v>
      </c>
      <c r="H100" s="9">
        <v>7.6838117212900001E-2</v>
      </c>
      <c r="I100" s="8" t="s">
        <v>13</v>
      </c>
      <c r="J100" s="10" t="s">
        <v>13</v>
      </c>
    </row>
    <row r="101" spans="2:10" ht="15" customHeight="1" x14ac:dyDescent="0.2">
      <c r="B101" s="11" t="s">
        <v>13</v>
      </c>
      <c r="J101" s="10" t="s">
        <v>13</v>
      </c>
    </row>
    <row r="102" spans="2:10" ht="15" customHeight="1" x14ac:dyDescent="0.2">
      <c r="B102" s="6" t="s">
        <v>218</v>
      </c>
      <c r="C102" s="7" t="s">
        <v>13</v>
      </c>
      <c r="D102" s="8" t="s">
        <v>13</v>
      </c>
      <c r="E102" s="7" t="s">
        <v>13</v>
      </c>
      <c r="F102" s="8" t="s">
        <v>13</v>
      </c>
      <c r="G102" s="8">
        <v>104696.14</v>
      </c>
      <c r="H102" s="9">
        <v>2.0671127669299995E-2</v>
      </c>
      <c r="I102" s="8" t="s">
        <v>13</v>
      </c>
      <c r="J102" s="10" t="s">
        <v>13</v>
      </c>
    </row>
    <row r="103" spans="2:10" ht="15" customHeight="1" x14ac:dyDescent="0.2">
      <c r="B103" s="11" t="s">
        <v>218</v>
      </c>
      <c r="C103" s="2" t="s">
        <v>219</v>
      </c>
      <c r="D103" s="15">
        <v>7.9300000000000006</v>
      </c>
      <c r="E103" s="2" t="s">
        <v>220</v>
      </c>
      <c r="F103" s="12">
        <v>47007980</v>
      </c>
      <c r="G103" s="13">
        <v>48384.61</v>
      </c>
      <c r="H103" s="14">
        <v>9.5530212531999992E-3</v>
      </c>
      <c r="I103" s="13">
        <v>7.61</v>
      </c>
      <c r="J103" s="10" t="s">
        <v>13</v>
      </c>
    </row>
    <row r="104" spans="2:10" ht="15" customHeight="1" x14ac:dyDescent="0.2">
      <c r="B104" s="11" t="s">
        <v>218</v>
      </c>
      <c r="C104" s="2" t="s">
        <v>221</v>
      </c>
      <c r="D104" s="15">
        <v>7.18</v>
      </c>
      <c r="E104" s="2" t="s">
        <v>220</v>
      </c>
      <c r="F104" s="12">
        <v>45205600</v>
      </c>
      <c r="G104" s="13">
        <v>46153.7</v>
      </c>
      <c r="H104" s="14">
        <v>9.1125520493999992E-3</v>
      </c>
      <c r="I104" s="13">
        <v>6.97</v>
      </c>
      <c r="J104" s="10" t="s">
        <v>13</v>
      </c>
    </row>
    <row r="105" spans="2:10" ht="15" customHeight="1" x14ac:dyDescent="0.2">
      <c r="B105" s="11" t="s">
        <v>218</v>
      </c>
      <c r="C105" s="2" t="s">
        <v>222</v>
      </c>
      <c r="D105" s="15">
        <v>7.1</v>
      </c>
      <c r="E105" s="2" t="s">
        <v>220</v>
      </c>
      <c r="F105" s="12">
        <v>7941130</v>
      </c>
      <c r="G105" s="13">
        <v>8082.11</v>
      </c>
      <c r="H105" s="14">
        <v>1.5957257607E-3</v>
      </c>
      <c r="I105" s="13">
        <v>6.96</v>
      </c>
      <c r="J105" s="10" t="s">
        <v>13</v>
      </c>
    </row>
    <row r="106" spans="2:10" ht="15" customHeight="1" x14ac:dyDescent="0.2">
      <c r="B106" s="11" t="s">
        <v>223</v>
      </c>
      <c r="C106" s="2" t="s">
        <v>224</v>
      </c>
      <c r="D106" s="15">
        <v>7.52</v>
      </c>
      <c r="E106" s="2" t="s">
        <v>220</v>
      </c>
      <c r="F106" s="12">
        <v>1000000</v>
      </c>
      <c r="G106" s="13">
        <v>1039.06</v>
      </c>
      <c r="H106" s="14">
        <v>2.051512301E-4</v>
      </c>
      <c r="I106" s="13">
        <v>7.23</v>
      </c>
      <c r="J106" s="10" t="s">
        <v>13</v>
      </c>
    </row>
    <row r="107" spans="2:10" ht="15" customHeight="1" x14ac:dyDescent="0.2">
      <c r="B107" s="11" t="s">
        <v>225</v>
      </c>
      <c r="C107" s="2" t="s">
        <v>226</v>
      </c>
      <c r="D107" s="15">
        <v>7.53</v>
      </c>
      <c r="E107" s="2" t="s">
        <v>220</v>
      </c>
      <c r="F107" s="12">
        <v>1000000</v>
      </c>
      <c r="G107" s="13">
        <v>1036.6600000000001</v>
      </c>
      <c r="H107" s="14">
        <v>2.0467737589999999E-4</v>
      </c>
      <c r="I107" s="13">
        <v>7.27</v>
      </c>
      <c r="J107" s="10" t="s">
        <v>13</v>
      </c>
    </row>
    <row r="108" spans="2:10" ht="15" customHeight="1" x14ac:dyDescent="0.2">
      <c r="B108" s="11" t="s">
        <v>13</v>
      </c>
      <c r="J108" s="10" t="s">
        <v>13</v>
      </c>
    </row>
    <row r="109" spans="2:10" ht="15" customHeight="1" x14ac:dyDescent="0.2">
      <c r="B109" s="6" t="s">
        <v>227</v>
      </c>
      <c r="C109" s="7" t="s">
        <v>13</v>
      </c>
      <c r="D109" s="8" t="s">
        <v>13</v>
      </c>
      <c r="E109" s="7" t="s">
        <v>13</v>
      </c>
      <c r="F109" s="8" t="s">
        <v>13</v>
      </c>
      <c r="G109" s="8">
        <v>284477.32</v>
      </c>
      <c r="H109" s="9">
        <v>5.6166989543600013E-2</v>
      </c>
      <c r="I109" s="8" t="s">
        <v>13</v>
      </c>
      <c r="J109" s="10" t="s">
        <v>13</v>
      </c>
    </row>
    <row r="110" spans="2:10" ht="15" customHeight="1" x14ac:dyDescent="0.2">
      <c r="B110" s="11" t="s">
        <v>228</v>
      </c>
      <c r="C110" s="2" t="s">
        <v>229</v>
      </c>
      <c r="D110" s="15">
        <v>9.02</v>
      </c>
      <c r="E110" s="2" t="s">
        <v>230</v>
      </c>
      <c r="F110" s="12">
        <v>25000</v>
      </c>
      <c r="G110" s="13">
        <v>25156.93</v>
      </c>
      <c r="H110" s="14">
        <v>4.9669654660000001E-3</v>
      </c>
      <c r="I110" s="13">
        <v>8.7200000000000006</v>
      </c>
      <c r="J110" s="10" t="s">
        <v>13</v>
      </c>
    </row>
    <row r="111" spans="2:10" ht="15" customHeight="1" x14ac:dyDescent="0.2">
      <c r="B111" s="11" t="s">
        <v>231</v>
      </c>
      <c r="C111" s="2" t="s">
        <v>232</v>
      </c>
      <c r="D111" s="15">
        <v>7.17</v>
      </c>
      <c r="E111" s="2" t="s">
        <v>233</v>
      </c>
      <c r="F111" s="12">
        <v>2500</v>
      </c>
      <c r="G111" s="13">
        <v>24924.25</v>
      </c>
      <c r="H111" s="14">
        <v>4.9210253005999996E-3</v>
      </c>
      <c r="I111" s="13">
        <v>7.5</v>
      </c>
      <c r="J111" s="10" t="s">
        <v>13</v>
      </c>
    </row>
    <row r="112" spans="2:10" ht="15" customHeight="1" x14ac:dyDescent="0.2">
      <c r="B112" s="11" t="s">
        <v>228</v>
      </c>
      <c r="C112" s="2" t="s">
        <v>234</v>
      </c>
      <c r="D112" s="15">
        <v>9.09</v>
      </c>
      <c r="E112" s="2" t="s">
        <v>230</v>
      </c>
      <c r="F112" s="12">
        <v>17500</v>
      </c>
      <c r="G112" s="13">
        <v>17730.13</v>
      </c>
      <c r="H112" s="14">
        <v>3.5006236221E-3</v>
      </c>
      <c r="I112" s="13">
        <v>8.7100000000000009</v>
      </c>
      <c r="J112" s="10" t="s">
        <v>13</v>
      </c>
    </row>
    <row r="113" spans="2:10" ht="15" customHeight="1" x14ac:dyDescent="0.2">
      <c r="B113" s="11" t="s">
        <v>235</v>
      </c>
      <c r="C113" s="2" t="s">
        <v>236</v>
      </c>
      <c r="D113" s="15">
        <v>8.42</v>
      </c>
      <c r="E113" s="2" t="s">
        <v>230</v>
      </c>
      <c r="F113" s="12">
        <v>15000</v>
      </c>
      <c r="G113" s="13">
        <v>15117.93</v>
      </c>
      <c r="H113" s="14">
        <v>2.9848728055E-3</v>
      </c>
      <c r="I113" s="13">
        <v>8.1300000000000008</v>
      </c>
      <c r="J113" s="10" t="s">
        <v>13</v>
      </c>
    </row>
    <row r="114" spans="2:10" ht="15" customHeight="1" x14ac:dyDescent="0.2">
      <c r="B114" s="11" t="s">
        <v>228</v>
      </c>
      <c r="C114" s="2" t="s">
        <v>237</v>
      </c>
      <c r="D114" s="15">
        <v>8.9</v>
      </c>
      <c r="E114" s="2" t="s">
        <v>230</v>
      </c>
      <c r="F114" s="12">
        <v>15000</v>
      </c>
      <c r="G114" s="13">
        <v>15071.3</v>
      </c>
      <c r="H114" s="14">
        <v>2.9756662131E-3</v>
      </c>
      <c r="I114" s="13">
        <v>8.6999999999999993</v>
      </c>
      <c r="J114" s="10" t="s">
        <v>13</v>
      </c>
    </row>
    <row r="115" spans="2:10" ht="15" customHeight="1" x14ac:dyDescent="0.2">
      <c r="B115" s="11" t="s">
        <v>238</v>
      </c>
      <c r="C115" s="2" t="s">
        <v>239</v>
      </c>
      <c r="D115" s="15">
        <v>7.43</v>
      </c>
      <c r="E115" s="2" t="s">
        <v>233</v>
      </c>
      <c r="F115" s="12">
        <v>13000</v>
      </c>
      <c r="G115" s="13">
        <v>12962.87</v>
      </c>
      <c r="H115" s="14">
        <v>2.5593793689999999E-3</v>
      </c>
      <c r="I115" s="13">
        <v>7.58</v>
      </c>
      <c r="J115" s="10" t="s">
        <v>13</v>
      </c>
    </row>
    <row r="116" spans="2:10" ht="15" customHeight="1" x14ac:dyDescent="0.2">
      <c r="B116" s="11" t="s">
        <v>240</v>
      </c>
      <c r="C116" s="2" t="s">
        <v>241</v>
      </c>
      <c r="D116" s="15">
        <v>8</v>
      </c>
      <c r="E116" s="2" t="s">
        <v>242</v>
      </c>
      <c r="F116" s="12">
        <v>1205</v>
      </c>
      <c r="G116" s="13">
        <v>11775.48</v>
      </c>
      <c r="H116" s="14">
        <v>2.3249419744E-3</v>
      </c>
      <c r="I116" s="13">
        <v>9.34</v>
      </c>
      <c r="J116" s="10" t="s">
        <v>13</v>
      </c>
    </row>
    <row r="117" spans="2:10" ht="15" customHeight="1" x14ac:dyDescent="0.2">
      <c r="B117" s="11" t="s">
        <v>243</v>
      </c>
      <c r="C117" s="2" t="s">
        <v>244</v>
      </c>
      <c r="D117" s="15">
        <v>8.9500000000000011</v>
      </c>
      <c r="E117" s="2" t="s">
        <v>230</v>
      </c>
      <c r="F117" s="12">
        <v>10000</v>
      </c>
      <c r="G117" s="13">
        <v>10071.61</v>
      </c>
      <c r="H117" s="14">
        <v>1.9885311545E-3</v>
      </c>
      <c r="I117" s="13">
        <v>8.5500000000000007</v>
      </c>
      <c r="J117" s="10" t="s">
        <v>13</v>
      </c>
    </row>
    <row r="118" spans="2:10" ht="15" customHeight="1" x14ac:dyDescent="0.2">
      <c r="B118" s="11" t="s">
        <v>245</v>
      </c>
      <c r="C118" s="2" t="s">
        <v>246</v>
      </c>
      <c r="D118" s="15">
        <v>7.83</v>
      </c>
      <c r="E118" s="2" t="s">
        <v>233</v>
      </c>
      <c r="F118" s="12">
        <v>10000</v>
      </c>
      <c r="G118" s="13">
        <v>10046.219999999999</v>
      </c>
      <c r="H118" s="14">
        <v>1.9835181718000001E-3</v>
      </c>
      <c r="I118" s="13">
        <v>7.57</v>
      </c>
      <c r="J118" s="10" t="s">
        <v>13</v>
      </c>
    </row>
    <row r="119" spans="2:10" ht="15" customHeight="1" x14ac:dyDescent="0.2">
      <c r="B119" s="11" t="s">
        <v>247</v>
      </c>
      <c r="C119" s="2" t="s">
        <v>248</v>
      </c>
      <c r="D119" s="15">
        <v>9.3800000000000008</v>
      </c>
      <c r="E119" s="2" t="s">
        <v>249</v>
      </c>
      <c r="F119" s="12">
        <v>80</v>
      </c>
      <c r="G119" s="13">
        <v>8063.35</v>
      </c>
      <c r="H119" s="14">
        <v>1.5920218003E-3</v>
      </c>
      <c r="I119" s="13">
        <v>9.1999999999999993</v>
      </c>
      <c r="J119" s="10" t="s">
        <v>13</v>
      </c>
    </row>
    <row r="120" spans="2:10" ht="15" customHeight="1" x14ac:dyDescent="0.2">
      <c r="B120" s="11" t="s">
        <v>250</v>
      </c>
      <c r="C120" s="2" t="s">
        <v>251</v>
      </c>
      <c r="D120" s="15">
        <v>7.99</v>
      </c>
      <c r="E120" s="2" t="s">
        <v>230</v>
      </c>
      <c r="F120" s="12">
        <v>7800</v>
      </c>
      <c r="G120" s="13">
        <v>7825.87</v>
      </c>
      <c r="H120" s="14">
        <v>1.5451339265E-3</v>
      </c>
      <c r="I120" s="13">
        <v>7.89</v>
      </c>
      <c r="J120" s="10" t="s">
        <v>13</v>
      </c>
    </row>
    <row r="121" spans="2:10" ht="15" customHeight="1" x14ac:dyDescent="0.2">
      <c r="B121" s="11" t="s">
        <v>252</v>
      </c>
      <c r="C121" s="2" t="s">
        <v>253</v>
      </c>
      <c r="D121" s="15">
        <v>7.68</v>
      </c>
      <c r="E121" s="2" t="s">
        <v>254</v>
      </c>
      <c r="F121" s="12">
        <v>7500</v>
      </c>
      <c r="G121" s="13">
        <v>7511.64</v>
      </c>
      <c r="H121" s="14">
        <v>1.4830925901E-3</v>
      </c>
      <c r="I121" s="13">
        <v>7.52</v>
      </c>
      <c r="J121" s="10" t="s">
        <v>13</v>
      </c>
    </row>
    <row r="122" spans="2:10" ht="15" customHeight="1" x14ac:dyDescent="0.2">
      <c r="B122" s="11" t="s">
        <v>245</v>
      </c>
      <c r="C122" s="2" t="s">
        <v>255</v>
      </c>
      <c r="D122" s="15">
        <v>7.5</v>
      </c>
      <c r="E122" s="2" t="s">
        <v>233</v>
      </c>
      <c r="F122" s="12">
        <v>7500</v>
      </c>
      <c r="G122" s="13">
        <v>7487.22</v>
      </c>
      <c r="H122" s="14">
        <v>1.4782711234999999E-3</v>
      </c>
      <c r="I122" s="13">
        <v>7.58</v>
      </c>
      <c r="J122" s="10" t="s">
        <v>13</v>
      </c>
    </row>
    <row r="123" spans="2:10" ht="15" customHeight="1" x14ac:dyDescent="0.2">
      <c r="B123" s="11" t="s">
        <v>256</v>
      </c>
      <c r="C123" s="2" t="s">
        <v>257</v>
      </c>
      <c r="D123" s="15">
        <v>8</v>
      </c>
      <c r="E123" s="2" t="s">
        <v>258</v>
      </c>
      <c r="F123" s="12">
        <v>7500</v>
      </c>
      <c r="G123" s="13">
        <v>7480.56</v>
      </c>
      <c r="H123" s="14">
        <v>1.4769561781E-3</v>
      </c>
      <c r="I123" s="13">
        <v>8.36</v>
      </c>
      <c r="J123" s="10" t="s">
        <v>13</v>
      </c>
    </row>
    <row r="124" spans="2:10" ht="15" customHeight="1" x14ac:dyDescent="0.2">
      <c r="B124" s="11" t="s">
        <v>245</v>
      </c>
      <c r="C124" s="2" t="s">
        <v>259</v>
      </c>
      <c r="D124" s="15">
        <v>5.23</v>
      </c>
      <c r="E124" s="2" t="s">
        <v>233</v>
      </c>
      <c r="F124" s="12">
        <v>750</v>
      </c>
      <c r="G124" s="13">
        <v>7456.94</v>
      </c>
      <c r="H124" s="14">
        <v>1.4722926628999999E-3</v>
      </c>
      <c r="I124" s="13">
        <v>7.3</v>
      </c>
      <c r="J124" s="10" t="s">
        <v>13</v>
      </c>
    </row>
    <row r="125" spans="2:10" ht="15" customHeight="1" x14ac:dyDescent="0.2">
      <c r="B125" s="11" t="s">
        <v>260</v>
      </c>
      <c r="C125" s="2" t="s">
        <v>261</v>
      </c>
      <c r="D125" s="15">
        <v>8.75</v>
      </c>
      <c r="E125" s="2" t="s">
        <v>262</v>
      </c>
      <c r="F125" s="12">
        <v>7500</v>
      </c>
      <c r="G125" s="13">
        <v>7428.53</v>
      </c>
      <c r="H125" s="14">
        <v>1.4666834138E-3</v>
      </c>
      <c r="I125" s="13">
        <v>9.7799999999999994</v>
      </c>
      <c r="J125" s="10" t="s">
        <v>13</v>
      </c>
    </row>
    <row r="126" spans="2:10" ht="15" customHeight="1" x14ac:dyDescent="0.2">
      <c r="B126" s="11" t="s">
        <v>263</v>
      </c>
      <c r="C126" s="2" t="s">
        <v>264</v>
      </c>
      <c r="D126" s="15">
        <v>5.78</v>
      </c>
      <c r="E126" s="2" t="s">
        <v>233</v>
      </c>
      <c r="F126" s="12">
        <v>750</v>
      </c>
      <c r="G126" s="13">
        <v>7352.87</v>
      </c>
      <c r="H126" s="14">
        <v>1.4517451599000001E-3</v>
      </c>
      <c r="I126" s="13">
        <v>7.76</v>
      </c>
      <c r="J126" s="10" t="s">
        <v>13</v>
      </c>
    </row>
    <row r="127" spans="2:10" ht="15" customHeight="1" x14ac:dyDescent="0.2">
      <c r="B127" s="11" t="s">
        <v>265</v>
      </c>
      <c r="C127" s="2" t="s">
        <v>266</v>
      </c>
      <c r="D127" s="15">
        <v>9.3000000000000007</v>
      </c>
      <c r="E127" s="2" t="s">
        <v>267</v>
      </c>
      <c r="F127" s="12">
        <v>6500</v>
      </c>
      <c r="G127" s="13">
        <v>6506.63</v>
      </c>
      <c r="H127" s="14">
        <v>1.2846641665E-3</v>
      </c>
      <c r="I127" s="13">
        <v>9.14</v>
      </c>
      <c r="J127" s="10" t="s">
        <v>13</v>
      </c>
    </row>
    <row r="128" spans="2:10" ht="15" customHeight="1" x14ac:dyDescent="0.2">
      <c r="B128" s="11" t="s">
        <v>268</v>
      </c>
      <c r="C128" s="2" t="s">
        <v>269</v>
      </c>
      <c r="D128" s="15">
        <v>6.01</v>
      </c>
      <c r="E128" s="2" t="s">
        <v>233</v>
      </c>
      <c r="F128" s="12">
        <v>650</v>
      </c>
      <c r="G128" s="13">
        <v>6341.91</v>
      </c>
      <c r="H128" s="14">
        <v>1.2521419727E-3</v>
      </c>
      <c r="I128" s="13">
        <v>7.7</v>
      </c>
      <c r="J128" s="10" t="s">
        <v>13</v>
      </c>
    </row>
    <row r="129" spans="2:10" ht="15" customHeight="1" x14ac:dyDescent="0.2">
      <c r="B129" s="11" t="s">
        <v>270</v>
      </c>
      <c r="C129" s="2" t="s">
        <v>271</v>
      </c>
      <c r="D129" s="15">
        <v>9.3000000000000007</v>
      </c>
      <c r="E129" s="2" t="s">
        <v>267</v>
      </c>
      <c r="F129" s="12">
        <v>5000</v>
      </c>
      <c r="G129" s="13">
        <v>5053.54</v>
      </c>
      <c r="H129" s="14">
        <v>9.9776716240000001E-4</v>
      </c>
      <c r="I129" s="13">
        <v>9.07</v>
      </c>
      <c r="J129" s="10" t="s">
        <v>13</v>
      </c>
    </row>
    <row r="130" spans="2:10" ht="15" customHeight="1" x14ac:dyDescent="0.2">
      <c r="B130" s="11" t="s">
        <v>235</v>
      </c>
      <c r="C130" s="2" t="s">
        <v>272</v>
      </c>
      <c r="D130" s="15">
        <v>8.4</v>
      </c>
      <c r="E130" s="2" t="s">
        <v>230</v>
      </c>
      <c r="F130" s="12">
        <v>5000</v>
      </c>
      <c r="G130" s="13">
        <v>5031.33</v>
      </c>
      <c r="H130" s="14">
        <v>9.9338203660000006E-4</v>
      </c>
      <c r="I130" s="13">
        <v>8.1199999999999992</v>
      </c>
      <c r="J130" s="10" t="s">
        <v>13</v>
      </c>
    </row>
    <row r="131" spans="2:10" ht="15" customHeight="1" x14ac:dyDescent="0.2">
      <c r="B131" s="11" t="s">
        <v>273</v>
      </c>
      <c r="C131" s="2" t="s">
        <v>274</v>
      </c>
      <c r="D131" s="15">
        <v>8.4</v>
      </c>
      <c r="E131" s="2" t="s">
        <v>275</v>
      </c>
      <c r="F131" s="12">
        <v>5000</v>
      </c>
      <c r="G131" s="13">
        <v>5027.47</v>
      </c>
      <c r="H131" s="14">
        <v>9.9261992099999993E-4</v>
      </c>
      <c r="I131" s="13">
        <v>8.1999999999999993</v>
      </c>
      <c r="J131" s="10" t="s">
        <v>13</v>
      </c>
    </row>
    <row r="132" spans="2:10" ht="15" customHeight="1" x14ac:dyDescent="0.2">
      <c r="B132" s="11" t="s">
        <v>263</v>
      </c>
      <c r="C132" s="2" t="s">
        <v>276</v>
      </c>
      <c r="D132" s="15">
        <v>8.43</v>
      </c>
      <c r="E132" s="2" t="s">
        <v>233</v>
      </c>
      <c r="F132" s="12">
        <v>1000</v>
      </c>
      <c r="G132" s="13">
        <v>5004.1899999999996</v>
      </c>
      <c r="H132" s="14">
        <v>9.8802353519999997E-4</v>
      </c>
      <c r="I132" s="13">
        <v>7.74</v>
      </c>
      <c r="J132" s="10" t="s">
        <v>13</v>
      </c>
    </row>
    <row r="133" spans="2:10" ht="15" customHeight="1" x14ac:dyDescent="0.2">
      <c r="B133" s="11" t="s">
        <v>243</v>
      </c>
      <c r="C133" s="2" t="s">
        <v>277</v>
      </c>
      <c r="D133" s="15">
        <v>9.3000000000000007</v>
      </c>
      <c r="E133" s="2" t="s">
        <v>230</v>
      </c>
      <c r="F133" s="12">
        <v>500</v>
      </c>
      <c r="G133" s="13">
        <v>5000.96</v>
      </c>
      <c r="H133" s="14">
        <v>9.8738580640000007E-4</v>
      </c>
      <c r="I133" s="13">
        <v>8.23</v>
      </c>
      <c r="J133" s="10" t="s">
        <v>13</v>
      </c>
    </row>
    <row r="134" spans="2:10" ht="15" customHeight="1" x14ac:dyDescent="0.2">
      <c r="B134" s="11" t="s">
        <v>263</v>
      </c>
      <c r="C134" s="2" t="s">
        <v>278</v>
      </c>
      <c r="D134" s="15">
        <v>7.8</v>
      </c>
      <c r="E134" s="2" t="s">
        <v>233</v>
      </c>
      <c r="F134" s="12">
        <v>5000</v>
      </c>
      <c r="G134" s="13">
        <v>4994.37</v>
      </c>
      <c r="H134" s="14">
        <v>9.8608468180000006E-4</v>
      </c>
      <c r="I134" s="13">
        <v>7.75</v>
      </c>
      <c r="J134" s="10" t="s">
        <v>13</v>
      </c>
    </row>
    <row r="135" spans="2:10" ht="15" customHeight="1" x14ac:dyDescent="0.2">
      <c r="B135" s="11" t="s">
        <v>279</v>
      </c>
      <c r="C135" s="2" t="s">
        <v>280</v>
      </c>
      <c r="D135" s="15">
        <v>7.18</v>
      </c>
      <c r="E135" s="2" t="s">
        <v>281</v>
      </c>
      <c r="F135" s="12">
        <v>500</v>
      </c>
      <c r="G135" s="13">
        <v>4977.1499999999996</v>
      </c>
      <c r="H135" s="14">
        <v>9.8268477779999992E-4</v>
      </c>
      <c r="I135" s="13">
        <v>7.27</v>
      </c>
      <c r="J135" s="10">
        <v>8.1199999999999992</v>
      </c>
    </row>
    <row r="136" spans="2:10" ht="15" customHeight="1" x14ac:dyDescent="0.2">
      <c r="B136" s="11" t="s">
        <v>282</v>
      </c>
      <c r="C136" s="2" t="s">
        <v>283</v>
      </c>
      <c r="D136" s="15">
        <v>8.3000000000000007</v>
      </c>
      <c r="E136" s="2" t="s">
        <v>230</v>
      </c>
      <c r="F136" s="12">
        <v>350</v>
      </c>
      <c r="G136" s="13">
        <v>3528.13</v>
      </c>
      <c r="H136" s="14">
        <v>6.9659135149999999E-4</v>
      </c>
      <c r="I136" s="13">
        <v>7.91</v>
      </c>
      <c r="J136" s="10" t="s">
        <v>13</v>
      </c>
    </row>
    <row r="137" spans="2:10" ht="15" customHeight="1" x14ac:dyDescent="0.2">
      <c r="B137" s="11" t="s">
        <v>243</v>
      </c>
      <c r="C137" s="2" t="s">
        <v>284</v>
      </c>
      <c r="D137" s="15">
        <v>8.7000000000000011</v>
      </c>
      <c r="E137" s="2" t="s">
        <v>230</v>
      </c>
      <c r="F137" s="12">
        <v>350</v>
      </c>
      <c r="G137" s="13">
        <v>3505.97</v>
      </c>
      <c r="H137" s="14">
        <v>6.9221609769999995E-4</v>
      </c>
      <c r="I137" s="13">
        <v>8.5</v>
      </c>
      <c r="J137" s="10" t="s">
        <v>13</v>
      </c>
    </row>
    <row r="138" spans="2:10" ht="15" customHeight="1" x14ac:dyDescent="0.2">
      <c r="B138" s="11" t="s">
        <v>285</v>
      </c>
      <c r="C138" s="2" t="s">
        <v>286</v>
      </c>
      <c r="D138" s="15">
        <v>9</v>
      </c>
      <c r="E138" s="2" t="s">
        <v>287</v>
      </c>
      <c r="F138" s="12">
        <v>3000</v>
      </c>
      <c r="G138" s="13">
        <v>2990.9</v>
      </c>
      <c r="H138" s="14">
        <v>5.9052106160000005E-4</v>
      </c>
      <c r="I138" s="13">
        <v>9.3699999999999992</v>
      </c>
      <c r="J138" s="10" t="s">
        <v>13</v>
      </c>
    </row>
    <row r="139" spans="2:10" ht="15" customHeight="1" x14ac:dyDescent="0.2">
      <c r="B139" s="11" t="s">
        <v>243</v>
      </c>
      <c r="C139" s="2" t="s">
        <v>288</v>
      </c>
      <c r="D139" s="15">
        <v>8.9</v>
      </c>
      <c r="E139" s="2" t="s">
        <v>230</v>
      </c>
      <c r="F139" s="12">
        <v>2500</v>
      </c>
      <c r="G139" s="13">
        <v>2509.2600000000002</v>
      </c>
      <c r="H139" s="14">
        <v>4.9542641979999997E-4</v>
      </c>
      <c r="I139" s="13">
        <v>8.5</v>
      </c>
      <c r="J139" s="10" t="s">
        <v>13</v>
      </c>
    </row>
    <row r="140" spans="2:10" ht="15" customHeight="1" x14ac:dyDescent="0.2">
      <c r="B140" s="11" t="s">
        <v>263</v>
      </c>
      <c r="C140" s="2" t="s">
        <v>289</v>
      </c>
      <c r="D140" s="15">
        <v>7.35</v>
      </c>
      <c r="E140" s="2" t="s">
        <v>233</v>
      </c>
      <c r="F140" s="12">
        <v>250</v>
      </c>
      <c r="G140" s="13">
        <v>2494.92</v>
      </c>
      <c r="H140" s="14">
        <v>4.9259514099999995E-4</v>
      </c>
      <c r="I140" s="13">
        <v>7.69</v>
      </c>
      <c r="J140" s="10" t="s">
        <v>13</v>
      </c>
    </row>
    <row r="141" spans="2:10" ht="15" customHeight="1" x14ac:dyDescent="0.2">
      <c r="B141" s="11" t="s">
        <v>263</v>
      </c>
      <c r="C141" s="2" t="s">
        <v>290</v>
      </c>
      <c r="D141" s="15">
        <v>7.4</v>
      </c>
      <c r="E141" s="2" t="s">
        <v>233</v>
      </c>
      <c r="F141" s="12">
        <v>250</v>
      </c>
      <c r="G141" s="13">
        <v>2491.7800000000002</v>
      </c>
      <c r="H141" s="14">
        <v>4.9197518169999995E-4</v>
      </c>
      <c r="I141" s="13">
        <v>7.75</v>
      </c>
      <c r="J141" s="10" t="s">
        <v>13</v>
      </c>
    </row>
    <row r="142" spans="2:10" ht="15" customHeight="1" x14ac:dyDescent="0.2">
      <c r="B142" s="11" t="s">
        <v>263</v>
      </c>
      <c r="C142" s="2" t="s">
        <v>291</v>
      </c>
      <c r="D142" s="15">
        <v>6.43</v>
      </c>
      <c r="E142" s="2" t="s">
        <v>233</v>
      </c>
      <c r="F142" s="12">
        <v>250</v>
      </c>
      <c r="G142" s="13">
        <v>2470.37</v>
      </c>
      <c r="H142" s="14">
        <v>4.8774800729999999E-4</v>
      </c>
      <c r="I142" s="13">
        <v>7.78</v>
      </c>
      <c r="J142" s="10" t="s">
        <v>13</v>
      </c>
    </row>
    <row r="143" spans="2:10" ht="15" customHeight="1" x14ac:dyDescent="0.2">
      <c r="B143" s="11" t="s">
        <v>263</v>
      </c>
      <c r="C143" s="2" t="s">
        <v>292</v>
      </c>
      <c r="D143" s="15">
        <v>7.7</v>
      </c>
      <c r="E143" s="2" t="s">
        <v>233</v>
      </c>
      <c r="F143" s="12">
        <v>200</v>
      </c>
      <c r="G143" s="13">
        <v>1998.68</v>
      </c>
      <c r="H143" s="14">
        <v>3.9461788610000001E-4</v>
      </c>
      <c r="I143" s="13">
        <v>7.76</v>
      </c>
      <c r="J143" s="10" t="s">
        <v>13</v>
      </c>
    </row>
    <row r="144" spans="2:10" ht="15" customHeight="1" x14ac:dyDescent="0.2">
      <c r="B144" s="11" t="s">
        <v>293</v>
      </c>
      <c r="C144" s="2" t="s">
        <v>294</v>
      </c>
      <c r="D144" s="15">
        <v>9.25</v>
      </c>
      <c r="E144" s="2" t="s">
        <v>267</v>
      </c>
      <c r="F144" s="12">
        <v>2000</v>
      </c>
      <c r="G144" s="13">
        <v>1992.46</v>
      </c>
      <c r="H144" s="14">
        <v>3.9338981389999998E-4</v>
      </c>
      <c r="I144" s="13">
        <v>9.76</v>
      </c>
      <c r="J144" s="10" t="s">
        <v>13</v>
      </c>
    </row>
    <row r="145" spans="2:10" ht="15" customHeight="1" x14ac:dyDescent="0.2">
      <c r="B145" s="11" t="s">
        <v>293</v>
      </c>
      <c r="C145" s="2" t="s">
        <v>295</v>
      </c>
      <c r="D145" s="15">
        <v>9.25</v>
      </c>
      <c r="E145" s="2" t="s">
        <v>267</v>
      </c>
      <c r="F145" s="12">
        <v>2000</v>
      </c>
      <c r="G145" s="13">
        <v>1987.68</v>
      </c>
      <c r="H145" s="14">
        <v>3.9244605430000001E-4</v>
      </c>
      <c r="I145" s="13">
        <v>9.69</v>
      </c>
      <c r="J145" s="10" t="s">
        <v>13</v>
      </c>
    </row>
    <row r="146" spans="2:10" ht="15" customHeight="1" x14ac:dyDescent="0.2">
      <c r="B146" s="11" t="s">
        <v>296</v>
      </c>
      <c r="C146" s="2" t="s">
        <v>297</v>
      </c>
      <c r="D146" s="15">
        <v>8.7900000000000009</v>
      </c>
      <c r="E146" s="2" t="s">
        <v>298</v>
      </c>
      <c r="F146" s="12">
        <v>1604</v>
      </c>
      <c r="G146" s="13">
        <v>1605.1</v>
      </c>
      <c r="H146" s="14">
        <v>3.1690974490000001E-4</v>
      </c>
      <c r="I146" s="13">
        <v>9.01</v>
      </c>
      <c r="J146" s="10" t="s">
        <v>13</v>
      </c>
    </row>
    <row r="147" spans="2:10" ht="15" customHeight="1" x14ac:dyDescent="0.2">
      <c r="B147" s="11" t="s">
        <v>250</v>
      </c>
      <c r="C147" s="2" t="s">
        <v>299</v>
      </c>
      <c r="D147" s="15">
        <v>7.99</v>
      </c>
      <c r="E147" s="2" t="s">
        <v>230</v>
      </c>
      <c r="F147" s="12">
        <v>1500</v>
      </c>
      <c r="G147" s="13">
        <v>1506.85</v>
      </c>
      <c r="H147" s="14">
        <v>2.9751133830000002E-4</v>
      </c>
      <c r="I147" s="13">
        <v>7.88</v>
      </c>
      <c r="J147" s="10" t="s">
        <v>13</v>
      </c>
    </row>
    <row r="148" spans="2:10" ht="15" customHeight="1" x14ac:dyDescent="0.2">
      <c r="B148" s="11" t="s">
        <v>300</v>
      </c>
      <c r="C148" s="2" t="s">
        <v>301</v>
      </c>
      <c r="D148" s="15">
        <v>9.9500000000000011</v>
      </c>
      <c r="E148" s="2" t="s">
        <v>262</v>
      </c>
      <c r="F148" s="12">
        <v>1500</v>
      </c>
      <c r="G148" s="13">
        <v>1499.13</v>
      </c>
      <c r="H148" s="14">
        <v>2.9598710720000001E-4</v>
      </c>
      <c r="I148" s="13">
        <v>10.37</v>
      </c>
      <c r="J148" s="10" t="s">
        <v>13</v>
      </c>
    </row>
    <row r="149" spans="2:10" ht="15" customHeight="1" x14ac:dyDescent="0.2">
      <c r="B149" s="11" t="s">
        <v>302</v>
      </c>
      <c r="C149" s="2" t="s">
        <v>303</v>
      </c>
      <c r="D149" s="15">
        <v>10</v>
      </c>
      <c r="E149" s="2" t="s">
        <v>304</v>
      </c>
      <c r="F149" s="12">
        <v>1250</v>
      </c>
      <c r="G149" s="13">
        <v>1247.53</v>
      </c>
      <c r="H149" s="14">
        <v>2.463113912E-4</v>
      </c>
      <c r="I149" s="13">
        <v>10.27</v>
      </c>
      <c r="J149" s="10" t="s">
        <v>13</v>
      </c>
    </row>
    <row r="150" spans="2:10" ht="15" customHeight="1" x14ac:dyDescent="0.2">
      <c r="B150" s="11" t="s">
        <v>302</v>
      </c>
      <c r="C150" s="2" t="s">
        <v>305</v>
      </c>
      <c r="D150" s="15">
        <v>10</v>
      </c>
      <c r="E150" s="2" t="s">
        <v>304</v>
      </c>
      <c r="F150" s="12">
        <v>1250</v>
      </c>
      <c r="G150" s="13">
        <v>1247.31</v>
      </c>
      <c r="H150" s="14">
        <v>2.462679546E-4</v>
      </c>
      <c r="I150" s="13">
        <v>10.27</v>
      </c>
      <c r="J150" s="10" t="s">
        <v>13</v>
      </c>
    </row>
    <row r="151" spans="2:10" ht="15" customHeight="1" x14ac:dyDescent="0.2">
      <c r="B151" s="11" t="s">
        <v>13</v>
      </c>
      <c r="J151" s="10" t="s">
        <v>13</v>
      </c>
    </row>
    <row r="152" spans="2:10" ht="15" customHeight="1" x14ac:dyDescent="0.2">
      <c r="B152" s="6" t="s">
        <v>306</v>
      </c>
      <c r="C152" s="7" t="s">
        <v>13</v>
      </c>
      <c r="D152" s="8" t="s">
        <v>13</v>
      </c>
      <c r="E152" s="7" t="s">
        <v>13</v>
      </c>
      <c r="F152" s="8" t="s">
        <v>13</v>
      </c>
      <c r="G152" s="8" t="s">
        <v>216</v>
      </c>
      <c r="H152" s="9" t="s">
        <v>216</v>
      </c>
      <c r="I152" s="8" t="s">
        <v>13</v>
      </c>
      <c r="J152" s="10" t="s">
        <v>13</v>
      </c>
    </row>
    <row r="153" spans="2:10" ht="15" customHeight="1" x14ac:dyDescent="0.2">
      <c r="B153" s="11" t="s">
        <v>13</v>
      </c>
      <c r="J153" s="10" t="s">
        <v>13</v>
      </c>
    </row>
    <row r="154" spans="2:10" ht="15" customHeight="1" x14ac:dyDescent="0.2">
      <c r="B154" s="6" t="s">
        <v>307</v>
      </c>
      <c r="C154" s="7" t="s">
        <v>13</v>
      </c>
      <c r="D154" s="8" t="s">
        <v>13</v>
      </c>
      <c r="E154" s="7" t="s">
        <v>13</v>
      </c>
      <c r="F154" s="8" t="s">
        <v>13</v>
      </c>
      <c r="G154" s="8" t="s">
        <v>216</v>
      </c>
      <c r="H154" s="9" t="s">
        <v>216</v>
      </c>
      <c r="I154" s="8" t="s">
        <v>13</v>
      </c>
      <c r="J154" s="10" t="s">
        <v>13</v>
      </c>
    </row>
    <row r="155" spans="2:10" ht="15" customHeight="1" x14ac:dyDescent="0.2">
      <c r="B155" s="11" t="s">
        <v>13</v>
      </c>
      <c r="J155" s="10" t="s">
        <v>13</v>
      </c>
    </row>
    <row r="156" spans="2:10" ht="15" customHeight="1" x14ac:dyDescent="0.2">
      <c r="B156" s="6" t="s">
        <v>308</v>
      </c>
      <c r="C156" s="7" t="s">
        <v>13</v>
      </c>
      <c r="D156" s="8" t="s">
        <v>13</v>
      </c>
      <c r="E156" s="7" t="s">
        <v>13</v>
      </c>
      <c r="F156" s="8" t="s">
        <v>13</v>
      </c>
      <c r="G156" s="8">
        <v>56866.27</v>
      </c>
      <c r="H156" s="9">
        <v>1.12276338673E-2</v>
      </c>
      <c r="I156" s="8" t="s">
        <v>13</v>
      </c>
      <c r="J156" s="10" t="s">
        <v>13</v>
      </c>
    </row>
    <row r="157" spans="2:10" ht="15" customHeight="1" x14ac:dyDescent="0.2">
      <c r="B157" s="11" t="s">
        <v>309</v>
      </c>
      <c r="C157" s="2" t="s">
        <v>310</v>
      </c>
      <c r="D157" s="2" t="s">
        <v>13</v>
      </c>
      <c r="E157" s="2" t="s">
        <v>311</v>
      </c>
      <c r="F157" s="12">
        <v>1750000000</v>
      </c>
      <c r="G157" s="13">
        <v>17608.5</v>
      </c>
      <c r="H157" s="14">
        <v>3.4766090856999999E-3</v>
      </c>
      <c r="I157" s="13">
        <v>8.8800000000000008</v>
      </c>
      <c r="J157" s="10" t="s">
        <v>13</v>
      </c>
    </row>
    <row r="158" spans="2:10" ht="15" customHeight="1" x14ac:dyDescent="0.2">
      <c r="B158" s="11" t="s">
        <v>312</v>
      </c>
      <c r="C158" s="2" t="s">
        <v>313</v>
      </c>
      <c r="D158" s="2" t="s">
        <v>13</v>
      </c>
      <c r="E158" s="2" t="s">
        <v>314</v>
      </c>
      <c r="F158" s="12">
        <v>166</v>
      </c>
      <c r="G158" s="13">
        <v>16589.71</v>
      </c>
      <c r="H158" s="14">
        <v>3.2754599491999999E-3</v>
      </c>
      <c r="I158" s="13">
        <v>8.4499999999999993</v>
      </c>
      <c r="J158" s="10" t="s">
        <v>13</v>
      </c>
    </row>
    <row r="159" spans="2:10" ht="15" customHeight="1" x14ac:dyDescent="0.2">
      <c r="B159" s="11" t="s">
        <v>312</v>
      </c>
      <c r="C159" s="2" t="s">
        <v>315</v>
      </c>
      <c r="D159" s="2" t="s">
        <v>13</v>
      </c>
      <c r="E159" s="2" t="s">
        <v>314</v>
      </c>
      <c r="F159" s="12">
        <v>155</v>
      </c>
      <c r="G159" s="13">
        <v>14813.85</v>
      </c>
      <c r="H159" s="14">
        <v>2.9248354773999999E-3</v>
      </c>
      <c r="I159" s="13">
        <v>8.11</v>
      </c>
      <c r="J159" s="10" t="s">
        <v>13</v>
      </c>
    </row>
    <row r="160" spans="2:10" ht="15" customHeight="1" x14ac:dyDescent="0.2">
      <c r="B160" s="11" t="s">
        <v>312</v>
      </c>
      <c r="C160" s="2" t="s">
        <v>316</v>
      </c>
      <c r="D160" s="2" t="s">
        <v>13</v>
      </c>
      <c r="E160" s="2" t="s">
        <v>314</v>
      </c>
      <c r="F160" s="12">
        <v>79</v>
      </c>
      <c r="G160" s="13">
        <v>7854.21</v>
      </c>
      <c r="H160" s="14">
        <v>1.5507293549999999E-3</v>
      </c>
      <c r="I160" s="13">
        <v>8.24</v>
      </c>
      <c r="J160" s="10" t="s">
        <v>13</v>
      </c>
    </row>
    <row r="161" spans="2:10" ht="15" customHeight="1" x14ac:dyDescent="0.2">
      <c r="B161" s="11" t="s">
        <v>13</v>
      </c>
      <c r="J161" s="10" t="s">
        <v>13</v>
      </c>
    </row>
    <row r="162" spans="2:10" ht="15" customHeight="1" x14ac:dyDescent="0.2">
      <c r="B162" s="6" t="s">
        <v>317</v>
      </c>
      <c r="C162" s="7" t="s">
        <v>13</v>
      </c>
      <c r="D162" s="8" t="s">
        <v>13</v>
      </c>
      <c r="E162" s="7" t="s">
        <v>13</v>
      </c>
      <c r="F162" s="8" t="s">
        <v>13</v>
      </c>
      <c r="G162" s="8" t="s">
        <v>216</v>
      </c>
      <c r="H162" s="9" t="s">
        <v>216</v>
      </c>
      <c r="I162" s="8" t="s">
        <v>13</v>
      </c>
      <c r="J162" s="10" t="s">
        <v>13</v>
      </c>
    </row>
    <row r="163" spans="2:10" ht="15" customHeight="1" x14ac:dyDescent="0.2">
      <c r="B163" s="11" t="s">
        <v>13</v>
      </c>
      <c r="J163" s="10" t="s">
        <v>13</v>
      </c>
    </row>
    <row r="164" spans="2:10" ht="15" customHeight="1" x14ac:dyDescent="0.2">
      <c r="B164" s="6" t="s">
        <v>318</v>
      </c>
      <c r="C164" s="7" t="s">
        <v>13</v>
      </c>
      <c r="D164" s="8" t="s">
        <v>13</v>
      </c>
      <c r="E164" s="7" t="s">
        <v>13</v>
      </c>
      <c r="F164" s="8" t="s">
        <v>13</v>
      </c>
      <c r="G164" s="8" t="s">
        <v>216</v>
      </c>
      <c r="H164" s="9" t="s">
        <v>216</v>
      </c>
      <c r="I164" s="8" t="s">
        <v>13</v>
      </c>
      <c r="J164" s="10" t="s">
        <v>13</v>
      </c>
    </row>
    <row r="165" spans="2:10" ht="15" customHeight="1" x14ac:dyDescent="0.2">
      <c r="B165" s="11" t="s">
        <v>13</v>
      </c>
      <c r="J165" s="10" t="s">
        <v>13</v>
      </c>
    </row>
    <row r="166" spans="2:10" ht="15" customHeight="1" x14ac:dyDescent="0.2">
      <c r="B166" s="6" t="s">
        <v>319</v>
      </c>
      <c r="C166" s="7" t="s">
        <v>13</v>
      </c>
      <c r="D166" s="8" t="s">
        <v>13</v>
      </c>
      <c r="E166" s="7" t="s">
        <v>13</v>
      </c>
      <c r="F166" s="8" t="s">
        <v>13</v>
      </c>
      <c r="G166" s="8" t="s">
        <v>216</v>
      </c>
      <c r="H166" s="9" t="s">
        <v>216</v>
      </c>
      <c r="I166" s="8" t="s">
        <v>13</v>
      </c>
      <c r="J166" s="10" t="s">
        <v>13</v>
      </c>
    </row>
    <row r="167" spans="2:10" ht="15" customHeight="1" x14ac:dyDescent="0.2">
      <c r="B167" s="11" t="s">
        <v>13</v>
      </c>
      <c r="J167" s="10" t="s">
        <v>13</v>
      </c>
    </row>
    <row r="168" spans="2:10" ht="15" customHeight="1" x14ac:dyDescent="0.2">
      <c r="B168" s="6" t="s">
        <v>320</v>
      </c>
      <c r="C168" s="7" t="s">
        <v>13</v>
      </c>
      <c r="D168" s="8" t="s">
        <v>13</v>
      </c>
      <c r="E168" s="7" t="s">
        <v>13</v>
      </c>
      <c r="F168" s="8" t="s">
        <v>13</v>
      </c>
      <c r="G168" s="8">
        <v>273278.02999999997</v>
      </c>
      <c r="H168" s="9">
        <v>5.3955810092900007E-2</v>
      </c>
      <c r="I168" s="8" t="s">
        <v>13</v>
      </c>
      <c r="J168" s="10" t="s">
        <v>13</v>
      </c>
    </row>
    <row r="169" spans="2:10" ht="15" customHeight="1" x14ac:dyDescent="0.2">
      <c r="B169" s="11" t="s">
        <v>13</v>
      </c>
      <c r="J169" s="10" t="s">
        <v>13</v>
      </c>
    </row>
    <row r="170" spans="2:10" ht="15" customHeight="1" x14ac:dyDescent="0.2">
      <c r="B170" s="6" t="s">
        <v>321</v>
      </c>
      <c r="C170" s="7" t="s">
        <v>13</v>
      </c>
      <c r="D170" s="8" t="s">
        <v>13</v>
      </c>
      <c r="E170" s="7" t="s">
        <v>13</v>
      </c>
      <c r="F170" s="8" t="s">
        <v>13</v>
      </c>
      <c r="G170" s="8">
        <v>80598.060000000012</v>
      </c>
      <c r="H170" s="9">
        <v>1.5913220756100001E-2</v>
      </c>
      <c r="I170" s="8" t="s">
        <v>13</v>
      </c>
      <c r="J170" s="10" t="s">
        <v>13</v>
      </c>
    </row>
    <row r="171" spans="2:10" ht="15" customHeight="1" x14ac:dyDescent="0.2">
      <c r="B171" s="11" t="s">
        <v>322</v>
      </c>
      <c r="C171" s="2" t="s">
        <v>323</v>
      </c>
      <c r="D171" s="2" t="s">
        <v>13</v>
      </c>
      <c r="E171" s="2" t="s">
        <v>324</v>
      </c>
      <c r="F171" s="12">
        <v>4000</v>
      </c>
      <c r="G171" s="13">
        <v>19568.560000000001</v>
      </c>
      <c r="H171" s="14">
        <v>3.8636018679000001E-3</v>
      </c>
      <c r="I171" s="13">
        <v>7.25</v>
      </c>
      <c r="J171" s="10" t="s">
        <v>13</v>
      </c>
    </row>
    <row r="172" spans="2:10" ht="15" customHeight="1" x14ac:dyDescent="0.2">
      <c r="B172" s="11" t="s">
        <v>325</v>
      </c>
      <c r="C172" s="2" t="s">
        <v>326</v>
      </c>
      <c r="D172" s="2" t="s">
        <v>13</v>
      </c>
      <c r="E172" s="2" t="s">
        <v>324</v>
      </c>
      <c r="F172" s="12">
        <v>3500</v>
      </c>
      <c r="G172" s="13">
        <v>17073.18</v>
      </c>
      <c r="H172" s="14">
        <v>3.3709159048E-3</v>
      </c>
      <c r="I172" s="13">
        <v>7.3</v>
      </c>
      <c r="J172" s="10" t="s">
        <v>13</v>
      </c>
    </row>
    <row r="173" spans="2:10" ht="15" customHeight="1" x14ac:dyDescent="0.2">
      <c r="B173" s="11" t="s">
        <v>327</v>
      </c>
      <c r="C173" s="2" t="s">
        <v>328</v>
      </c>
      <c r="D173" s="2" t="s">
        <v>13</v>
      </c>
      <c r="E173" s="2" t="s">
        <v>324</v>
      </c>
      <c r="F173" s="12">
        <v>3000</v>
      </c>
      <c r="G173" s="13">
        <v>14657.52</v>
      </c>
      <c r="H173" s="14">
        <v>2.893969799E-3</v>
      </c>
      <c r="I173" s="13">
        <v>7.23</v>
      </c>
      <c r="J173" s="10" t="s">
        <v>13</v>
      </c>
    </row>
    <row r="174" spans="2:10" ht="15" customHeight="1" x14ac:dyDescent="0.2">
      <c r="B174" s="11" t="s">
        <v>329</v>
      </c>
      <c r="C174" s="2" t="s">
        <v>330</v>
      </c>
      <c r="D174" s="2" t="s">
        <v>13</v>
      </c>
      <c r="E174" s="2" t="s">
        <v>324</v>
      </c>
      <c r="F174" s="12">
        <v>2500</v>
      </c>
      <c r="G174" s="13">
        <v>12200.08</v>
      </c>
      <c r="H174" s="14">
        <v>2.4087746811999999E-3</v>
      </c>
      <c r="I174" s="13">
        <v>7.36</v>
      </c>
      <c r="J174" s="10" t="s">
        <v>13</v>
      </c>
    </row>
    <row r="175" spans="2:10" ht="15" customHeight="1" x14ac:dyDescent="0.2">
      <c r="B175" s="11" t="s">
        <v>322</v>
      </c>
      <c r="C175" s="2" t="s">
        <v>331</v>
      </c>
      <c r="D175" s="2" t="s">
        <v>13</v>
      </c>
      <c r="E175" s="2" t="s">
        <v>324</v>
      </c>
      <c r="F175" s="12">
        <v>2000</v>
      </c>
      <c r="G175" s="13">
        <v>9746.59</v>
      </c>
      <c r="H175" s="14">
        <v>1.9243594485E-3</v>
      </c>
      <c r="I175" s="13">
        <v>7.3</v>
      </c>
      <c r="J175" s="10" t="s">
        <v>13</v>
      </c>
    </row>
    <row r="176" spans="2:10" ht="15" customHeight="1" x14ac:dyDescent="0.2">
      <c r="B176" s="11" t="s">
        <v>51</v>
      </c>
      <c r="C176" s="2" t="s">
        <v>332</v>
      </c>
      <c r="D176" s="2" t="s">
        <v>13</v>
      </c>
      <c r="E176" s="2" t="s">
        <v>324</v>
      </c>
      <c r="F176" s="12">
        <v>1000</v>
      </c>
      <c r="G176" s="13">
        <v>4913.1400000000003</v>
      </c>
      <c r="H176" s="14">
        <v>9.7004669120000003E-4</v>
      </c>
      <c r="I176" s="13">
        <v>7.17</v>
      </c>
      <c r="J176" s="10" t="s">
        <v>13</v>
      </c>
    </row>
    <row r="177" spans="2:10" ht="15" customHeight="1" x14ac:dyDescent="0.2">
      <c r="B177" s="11" t="s">
        <v>263</v>
      </c>
      <c r="C177" s="2" t="s">
        <v>333</v>
      </c>
      <c r="D177" s="2" t="s">
        <v>13</v>
      </c>
      <c r="E177" s="2" t="s">
        <v>324</v>
      </c>
      <c r="F177" s="12">
        <v>500</v>
      </c>
      <c r="G177" s="13">
        <v>2438.9899999999998</v>
      </c>
      <c r="H177" s="14">
        <v>4.8155236350000001E-4</v>
      </c>
      <c r="I177" s="13">
        <v>7.31</v>
      </c>
      <c r="J177" s="10" t="s">
        <v>13</v>
      </c>
    </row>
    <row r="178" spans="2:10" ht="15" customHeight="1" x14ac:dyDescent="0.2">
      <c r="B178" s="11" t="s">
        <v>13</v>
      </c>
      <c r="J178" s="10" t="s">
        <v>13</v>
      </c>
    </row>
    <row r="179" spans="2:10" ht="15" customHeight="1" x14ac:dyDescent="0.2">
      <c r="B179" s="6" t="s">
        <v>334</v>
      </c>
      <c r="C179" s="7" t="s">
        <v>13</v>
      </c>
      <c r="D179" s="8" t="s">
        <v>13</v>
      </c>
      <c r="E179" s="7" t="s">
        <v>13</v>
      </c>
      <c r="F179" s="8" t="s">
        <v>13</v>
      </c>
      <c r="G179" s="8" t="s">
        <v>216</v>
      </c>
      <c r="H179" s="9" t="s">
        <v>216</v>
      </c>
      <c r="I179" s="8" t="s">
        <v>13</v>
      </c>
      <c r="J179" s="10" t="s">
        <v>13</v>
      </c>
    </row>
    <row r="180" spans="2:10" ht="15" customHeight="1" x14ac:dyDescent="0.2">
      <c r="B180" s="11" t="s">
        <v>13</v>
      </c>
      <c r="J180" s="10" t="s">
        <v>13</v>
      </c>
    </row>
    <row r="181" spans="2:10" ht="15" customHeight="1" x14ac:dyDescent="0.2">
      <c r="B181" s="6" t="s">
        <v>335</v>
      </c>
      <c r="C181" s="7" t="s">
        <v>13</v>
      </c>
      <c r="D181" s="8" t="s">
        <v>13</v>
      </c>
      <c r="E181" s="7" t="s">
        <v>13</v>
      </c>
      <c r="F181" s="8" t="s">
        <v>13</v>
      </c>
      <c r="G181" s="8">
        <v>192679.97000000003</v>
      </c>
      <c r="H181" s="9">
        <v>3.8042589336799999E-2</v>
      </c>
      <c r="I181" s="8" t="s">
        <v>13</v>
      </c>
      <c r="J181" s="10" t="s">
        <v>13</v>
      </c>
    </row>
    <row r="182" spans="2:10" ht="15" customHeight="1" x14ac:dyDescent="0.2">
      <c r="B182" s="11" t="s">
        <v>336</v>
      </c>
      <c r="C182" s="2" t="s">
        <v>337</v>
      </c>
      <c r="D182" s="2" t="s">
        <v>13</v>
      </c>
      <c r="E182" s="2" t="s">
        <v>220</v>
      </c>
      <c r="F182" s="12">
        <v>35000000</v>
      </c>
      <c r="G182" s="13">
        <v>34611.68</v>
      </c>
      <c r="H182" s="14">
        <v>6.8337042428999999E-3</v>
      </c>
      <c r="I182" s="13">
        <v>6.5</v>
      </c>
      <c r="J182" s="10" t="s">
        <v>13</v>
      </c>
    </row>
    <row r="183" spans="2:10" ht="15" customHeight="1" x14ac:dyDescent="0.2">
      <c r="B183" s="11" t="s">
        <v>338</v>
      </c>
      <c r="C183" s="2" t="s">
        <v>339</v>
      </c>
      <c r="D183" s="2" t="s">
        <v>13</v>
      </c>
      <c r="E183" s="2" t="s">
        <v>220</v>
      </c>
      <c r="F183" s="12">
        <v>33000000</v>
      </c>
      <c r="G183" s="13">
        <v>32721.58</v>
      </c>
      <c r="H183" s="14">
        <v>6.4605243108999998E-3</v>
      </c>
      <c r="I183" s="13">
        <v>6.47</v>
      </c>
      <c r="J183" s="10" t="s">
        <v>13</v>
      </c>
    </row>
    <row r="184" spans="2:10" ht="15" customHeight="1" x14ac:dyDescent="0.2">
      <c r="B184" s="11" t="s">
        <v>336</v>
      </c>
      <c r="C184" s="2" t="s">
        <v>340</v>
      </c>
      <c r="D184" s="2" t="s">
        <v>13</v>
      </c>
      <c r="E184" s="2" t="s">
        <v>220</v>
      </c>
      <c r="F184" s="12">
        <v>26216300</v>
      </c>
      <c r="G184" s="13">
        <v>25802.69</v>
      </c>
      <c r="H184" s="14">
        <v>5.0944638379999997E-3</v>
      </c>
      <c r="I184" s="13">
        <v>6.5</v>
      </c>
      <c r="J184" s="10" t="s">
        <v>13</v>
      </c>
    </row>
    <row r="185" spans="2:10" ht="15" customHeight="1" x14ac:dyDescent="0.2">
      <c r="B185" s="11" t="s">
        <v>336</v>
      </c>
      <c r="C185" s="2" t="s">
        <v>341</v>
      </c>
      <c r="D185" s="2" t="s">
        <v>13</v>
      </c>
      <c r="E185" s="2" t="s">
        <v>220</v>
      </c>
      <c r="F185" s="12">
        <v>16000000</v>
      </c>
      <c r="G185" s="13">
        <v>15960.82</v>
      </c>
      <c r="H185" s="14">
        <v>3.1512923774000001E-3</v>
      </c>
      <c r="I185" s="13">
        <v>6.4</v>
      </c>
      <c r="J185" s="10" t="s">
        <v>13</v>
      </c>
    </row>
    <row r="186" spans="2:10" ht="15" customHeight="1" x14ac:dyDescent="0.2">
      <c r="B186" s="11" t="s">
        <v>338</v>
      </c>
      <c r="C186" s="2" t="s">
        <v>342</v>
      </c>
      <c r="D186" s="2" t="s">
        <v>13</v>
      </c>
      <c r="E186" s="2" t="s">
        <v>220</v>
      </c>
      <c r="F186" s="12">
        <v>13800000</v>
      </c>
      <c r="G186" s="13">
        <v>13717.59</v>
      </c>
      <c r="H186" s="14">
        <v>2.7083907219999999E-3</v>
      </c>
      <c r="I186" s="13">
        <v>6.45</v>
      </c>
      <c r="J186" s="10" t="s">
        <v>13</v>
      </c>
    </row>
    <row r="187" spans="2:10" ht="15" customHeight="1" x14ac:dyDescent="0.2">
      <c r="B187" s="11" t="s">
        <v>338</v>
      </c>
      <c r="C187" s="2" t="s">
        <v>343</v>
      </c>
      <c r="D187" s="2" t="s">
        <v>13</v>
      </c>
      <c r="E187" s="2" t="s">
        <v>220</v>
      </c>
      <c r="F187" s="12">
        <v>10750000</v>
      </c>
      <c r="G187" s="13">
        <v>10710.26</v>
      </c>
      <c r="H187" s="14">
        <v>2.1146257334000002E-3</v>
      </c>
      <c r="I187" s="13">
        <v>6.45</v>
      </c>
      <c r="J187" s="10" t="s">
        <v>13</v>
      </c>
    </row>
    <row r="188" spans="2:10" ht="15" customHeight="1" x14ac:dyDescent="0.2">
      <c r="B188" s="11" t="s">
        <v>338</v>
      </c>
      <c r="C188" s="2" t="s">
        <v>344</v>
      </c>
      <c r="D188" s="2" t="s">
        <v>13</v>
      </c>
      <c r="E188" s="2" t="s">
        <v>220</v>
      </c>
      <c r="F188" s="12">
        <v>10500000</v>
      </c>
      <c r="G188" s="13">
        <v>10450.14</v>
      </c>
      <c r="H188" s="14">
        <v>2.0632678349E-3</v>
      </c>
      <c r="I188" s="13">
        <v>6.45</v>
      </c>
      <c r="J188" s="10" t="s">
        <v>13</v>
      </c>
    </row>
    <row r="189" spans="2:10" ht="15" customHeight="1" x14ac:dyDescent="0.2">
      <c r="B189" s="11" t="s">
        <v>336</v>
      </c>
      <c r="C189" s="2" t="s">
        <v>345</v>
      </c>
      <c r="D189" s="2" t="s">
        <v>13</v>
      </c>
      <c r="E189" s="2" t="s">
        <v>220</v>
      </c>
      <c r="F189" s="12">
        <v>10000000</v>
      </c>
      <c r="G189" s="13">
        <v>9928.0400000000009</v>
      </c>
      <c r="H189" s="14">
        <v>1.9601848009000002E-3</v>
      </c>
      <c r="I189" s="13">
        <v>6.45</v>
      </c>
      <c r="J189" s="10" t="s">
        <v>13</v>
      </c>
    </row>
    <row r="190" spans="2:10" ht="15" customHeight="1" x14ac:dyDescent="0.2">
      <c r="B190" s="11" t="s">
        <v>346</v>
      </c>
      <c r="C190" s="2" t="s">
        <v>347</v>
      </c>
      <c r="D190" s="2" t="s">
        <v>13</v>
      </c>
      <c r="E190" s="2" t="s">
        <v>220</v>
      </c>
      <c r="F190" s="12">
        <v>10000000</v>
      </c>
      <c r="G190" s="13">
        <v>9842.02</v>
      </c>
      <c r="H190" s="14">
        <v>1.9432010763999999E-3</v>
      </c>
      <c r="I190" s="13">
        <v>6.51</v>
      </c>
      <c r="J190" s="10" t="s">
        <v>13</v>
      </c>
    </row>
    <row r="191" spans="2:10" ht="15" customHeight="1" x14ac:dyDescent="0.2">
      <c r="B191" s="11" t="s">
        <v>336</v>
      </c>
      <c r="C191" s="2" t="s">
        <v>348</v>
      </c>
      <c r="D191" s="2" t="s">
        <v>13</v>
      </c>
      <c r="E191" s="2" t="s">
        <v>220</v>
      </c>
      <c r="F191" s="12">
        <v>8500000</v>
      </c>
      <c r="G191" s="13">
        <v>8386.49</v>
      </c>
      <c r="H191" s="14">
        <v>1.6558223205E-3</v>
      </c>
      <c r="I191" s="13">
        <v>6.5</v>
      </c>
      <c r="J191" s="10" t="s">
        <v>13</v>
      </c>
    </row>
    <row r="192" spans="2:10" ht="15" customHeight="1" x14ac:dyDescent="0.2">
      <c r="B192" s="11" t="s">
        <v>336</v>
      </c>
      <c r="C192" s="2" t="s">
        <v>349</v>
      </c>
      <c r="D192" s="2" t="s">
        <v>13</v>
      </c>
      <c r="E192" s="2" t="s">
        <v>220</v>
      </c>
      <c r="F192" s="12">
        <v>8000000</v>
      </c>
      <c r="G192" s="13">
        <v>7962.01</v>
      </c>
      <c r="H192" s="14">
        <v>1.5720133063999999E-3</v>
      </c>
      <c r="I192" s="13">
        <v>6.45</v>
      </c>
      <c r="J192" s="10" t="s">
        <v>13</v>
      </c>
    </row>
    <row r="193" spans="2:10" ht="15" customHeight="1" x14ac:dyDescent="0.2">
      <c r="B193" s="11" t="s">
        <v>346</v>
      </c>
      <c r="C193" s="2" t="s">
        <v>350</v>
      </c>
      <c r="D193" s="2" t="s">
        <v>13</v>
      </c>
      <c r="E193" s="2" t="s">
        <v>220</v>
      </c>
      <c r="F193" s="12">
        <v>6200000</v>
      </c>
      <c r="G193" s="13">
        <v>6147.69</v>
      </c>
      <c r="H193" s="14">
        <v>1.213795321E-3</v>
      </c>
      <c r="I193" s="13">
        <v>6.47</v>
      </c>
      <c r="J193" s="10" t="s">
        <v>13</v>
      </c>
    </row>
    <row r="194" spans="2:10" ht="15" customHeight="1" x14ac:dyDescent="0.2">
      <c r="B194" s="11" t="s">
        <v>338</v>
      </c>
      <c r="C194" s="2" t="s">
        <v>351</v>
      </c>
      <c r="D194" s="2" t="s">
        <v>13</v>
      </c>
      <c r="E194" s="2" t="s">
        <v>220</v>
      </c>
      <c r="F194" s="12">
        <v>3500000</v>
      </c>
      <c r="G194" s="13">
        <v>3457.51</v>
      </c>
      <c r="H194" s="14">
        <v>6.8264819149999999E-4</v>
      </c>
      <c r="I194" s="13">
        <v>6.5</v>
      </c>
      <c r="J194" s="10" t="s">
        <v>13</v>
      </c>
    </row>
    <row r="195" spans="2:10" ht="15" customHeight="1" x14ac:dyDescent="0.2">
      <c r="B195" s="11" t="s">
        <v>346</v>
      </c>
      <c r="C195" s="2" t="s">
        <v>352</v>
      </c>
      <c r="D195" s="2" t="s">
        <v>13</v>
      </c>
      <c r="E195" s="2" t="s">
        <v>220</v>
      </c>
      <c r="F195" s="12">
        <v>2500000</v>
      </c>
      <c r="G195" s="13">
        <v>2488.13</v>
      </c>
      <c r="H195" s="14">
        <v>4.9125452839999997E-4</v>
      </c>
      <c r="I195" s="13">
        <v>6.45</v>
      </c>
      <c r="J195" s="10" t="s">
        <v>13</v>
      </c>
    </row>
    <row r="196" spans="2:10" ht="15" customHeight="1" x14ac:dyDescent="0.2">
      <c r="B196" s="11" t="s">
        <v>346</v>
      </c>
      <c r="C196" s="2" t="s">
        <v>353</v>
      </c>
      <c r="D196" s="2" t="s">
        <v>13</v>
      </c>
      <c r="E196" s="2" t="s">
        <v>220</v>
      </c>
      <c r="F196" s="12">
        <v>500000</v>
      </c>
      <c r="G196" s="13">
        <v>493.32</v>
      </c>
      <c r="H196" s="14">
        <v>9.7400732199999995E-5</v>
      </c>
      <c r="I196" s="13">
        <v>6.5</v>
      </c>
      <c r="J196" s="10" t="s">
        <v>13</v>
      </c>
    </row>
    <row r="197" spans="2:10" ht="15" customHeight="1" x14ac:dyDescent="0.2">
      <c r="B197" s="11" t="s">
        <v>13</v>
      </c>
      <c r="J197" s="10" t="s">
        <v>13</v>
      </c>
    </row>
    <row r="198" spans="2:10" ht="15" customHeight="1" x14ac:dyDescent="0.2">
      <c r="B198" s="6" t="s">
        <v>354</v>
      </c>
      <c r="C198" s="7" t="s">
        <v>13</v>
      </c>
      <c r="D198" s="8" t="s">
        <v>13</v>
      </c>
      <c r="E198" s="7" t="s">
        <v>13</v>
      </c>
      <c r="F198" s="8" t="s">
        <v>13</v>
      </c>
      <c r="G198" s="8">
        <v>260553.31</v>
      </c>
      <c r="H198" s="9">
        <v>5.1443450883099998E-2</v>
      </c>
      <c r="I198" s="8" t="s">
        <v>13</v>
      </c>
      <c r="J198" s="10" t="s">
        <v>13</v>
      </c>
    </row>
    <row r="199" spans="2:10" ht="15" customHeight="1" x14ac:dyDescent="0.2">
      <c r="B199" s="11" t="s">
        <v>355</v>
      </c>
      <c r="C199" s="2" t="s">
        <v>356</v>
      </c>
      <c r="D199" s="2" t="s">
        <v>13</v>
      </c>
      <c r="E199" s="2" t="s">
        <v>357</v>
      </c>
      <c r="F199" s="12">
        <v>179691983</v>
      </c>
      <c r="G199" s="13">
        <v>176205.96</v>
      </c>
      <c r="H199" s="14">
        <v>3.4789973109799997E-2</v>
      </c>
      <c r="I199" s="13" t="s">
        <v>13</v>
      </c>
      <c r="J199" s="10" t="s">
        <v>13</v>
      </c>
    </row>
    <row r="200" spans="2:10" ht="15" customHeight="1" x14ac:dyDescent="0.2">
      <c r="B200" s="11" t="s">
        <v>358</v>
      </c>
      <c r="C200" s="2" t="s">
        <v>359</v>
      </c>
      <c r="D200" s="2" t="s">
        <v>13</v>
      </c>
      <c r="E200" s="2" t="s">
        <v>357</v>
      </c>
      <c r="F200" s="12">
        <v>122331184</v>
      </c>
      <c r="G200" s="13">
        <v>84347.35</v>
      </c>
      <c r="H200" s="14">
        <v>1.66534777733E-2</v>
      </c>
      <c r="I200" s="13" t="s">
        <v>13</v>
      </c>
      <c r="J200" s="10" t="s">
        <v>13</v>
      </c>
    </row>
    <row r="201" spans="2:10" ht="15" customHeight="1" x14ac:dyDescent="0.2">
      <c r="B201" s="11" t="s">
        <v>13</v>
      </c>
      <c r="J201" s="10" t="s">
        <v>13</v>
      </c>
    </row>
    <row r="202" spans="2:10" ht="15" customHeight="1" x14ac:dyDescent="0.2">
      <c r="B202" s="6" t="s">
        <v>360</v>
      </c>
      <c r="C202" s="7" t="s">
        <v>13</v>
      </c>
      <c r="D202" s="8" t="s">
        <v>13</v>
      </c>
      <c r="E202" s="7" t="s">
        <v>13</v>
      </c>
      <c r="F202" s="8" t="s">
        <v>13</v>
      </c>
      <c r="G202" s="8">
        <v>23121.78</v>
      </c>
      <c r="H202" s="9">
        <v>4.5651469703185225E-3</v>
      </c>
      <c r="I202" s="8" t="s">
        <v>13</v>
      </c>
      <c r="J202" s="10" t="s">
        <v>13</v>
      </c>
    </row>
    <row r="203" spans="2:10" ht="15" customHeight="1" x14ac:dyDescent="0.2">
      <c r="B203" s="11" t="s">
        <v>13</v>
      </c>
      <c r="J203" s="10" t="s">
        <v>13</v>
      </c>
    </row>
    <row r="204" spans="2:10" ht="15" customHeight="1" x14ac:dyDescent="0.2">
      <c r="B204" s="6" t="s">
        <v>361</v>
      </c>
      <c r="C204" s="7" t="s">
        <v>13</v>
      </c>
      <c r="D204" s="8" t="s">
        <v>13</v>
      </c>
      <c r="E204" s="7" t="s">
        <v>13</v>
      </c>
      <c r="F204" s="8" t="s">
        <v>13</v>
      </c>
      <c r="G204" s="8">
        <v>11910</v>
      </c>
      <c r="H204" s="9">
        <v>2.3515015027000003E-3</v>
      </c>
      <c r="I204" s="8" t="s">
        <v>13</v>
      </c>
      <c r="J204" s="10" t="s">
        <v>13</v>
      </c>
    </row>
    <row r="205" spans="2:10" ht="15" customHeight="1" x14ac:dyDescent="0.2">
      <c r="B205" s="11" t="s">
        <v>362</v>
      </c>
      <c r="C205" s="2" t="s">
        <v>363</v>
      </c>
      <c r="D205" s="2" t="s">
        <v>13</v>
      </c>
      <c r="E205" s="2" t="s">
        <v>364</v>
      </c>
      <c r="F205" s="12">
        <v>7400000</v>
      </c>
      <c r="G205" s="13">
        <v>6660</v>
      </c>
      <c r="H205" s="14">
        <v>1.3149454247000001E-3</v>
      </c>
      <c r="I205" s="13" t="s">
        <v>13</v>
      </c>
      <c r="J205" s="10" t="s">
        <v>13</v>
      </c>
    </row>
    <row r="206" spans="2:10" ht="15" customHeight="1" x14ac:dyDescent="0.2">
      <c r="B206" s="11" t="s">
        <v>365</v>
      </c>
      <c r="C206" s="2" t="s">
        <v>366</v>
      </c>
      <c r="D206" s="2" t="s">
        <v>13</v>
      </c>
      <c r="E206" s="2" t="s">
        <v>364</v>
      </c>
      <c r="F206" s="12">
        <v>4200000</v>
      </c>
      <c r="G206" s="13">
        <v>5250</v>
      </c>
      <c r="H206" s="14">
        <v>1.036556078E-3</v>
      </c>
      <c r="I206" s="13" t="s">
        <v>13</v>
      </c>
      <c r="J206" s="26"/>
    </row>
    <row r="207" spans="2:10" ht="15" customHeight="1" x14ac:dyDescent="0.2">
      <c r="B207" s="11" t="s">
        <v>13</v>
      </c>
      <c r="J207" s="10"/>
    </row>
    <row r="208" spans="2:10" ht="15" customHeight="1" x14ac:dyDescent="0.2">
      <c r="B208" s="6" t="s">
        <v>367</v>
      </c>
      <c r="C208" s="7" t="s">
        <v>13</v>
      </c>
      <c r="D208" s="8" t="s">
        <v>13</v>
      </c>
      <c r="E208" s="7" t="s">
        <v>13</v>
      </c>
      <c r="F208" s="8" t="s">
        <v>13</v>
      </c>
      <c r="G208" s="8">
        <v>39281.69</v>
      </c>
      <c r="H208" s="9">
        <v>7.7557475286E-3</v>
      </c>
      <c r="I208" s="8" t="s">
        <v>13</v>
      </c>
      <c r="J208" s="26"/>
    </row>
    <row r="209" spans="2:10" ht="15" customHeight="1" x14ac:dyDescent="0.2">
      <c r="B209" s="11" t="s">
        <v>368</v>
      </c>
      <c r="C209" s="2" t="s">
        <v>369</v>
      </c>
      <c r="D209" s="2" t="s">
        <v>13</v>
      </c>
      <c r="E209" s="2" t="s">
        <v>367</v>
      </c>
      <c r="F209" s="12">
        <v>8037306</v>
      </c>
      <c r="G209" s="13">
        <v>31773.08</v>
      </c>
      <c r="H209" s="14">
        <v>6.2732531795000003E-3</v>
      </c>
      <c r="I209" s="13" t="s">
        <v>13</v>
      </c>
      <c r="J209" s="10"/>
    </row>
    <row r="210" spans="2:10" ht="15" customHeight="1" x14ac:dyDescent="0.2">
      <c r="B210" s="11" t="s">
        <v>370</v>
      </c>
      <c r="C210" s="2" t="s">
        <v>371</v>
      </c>
      <c r="D210" s="2" t="s">
        <v>13</v>
      </c>
      <c r="E210" s="2" t="s">
        <v>367</v>
      </c>
      <c r="F210" s="12">
        <v>5222290</v>
      </c>
      <c r="G210" s="13">
        <v>7508.61</v>
      </c>
      <c r="H210" s="14">
        <v>1.4824943491E-3</v>
      </c>
      <c r="I210" s="13" t="s">
        <v>13</v>
      </c>
      <c r="J210" s="10" t="s">
        <v>13</v>
      </c>
    </row>
    <row r="211" spans="2:10" ht="15" customHeight="1" x14ac:dyDescent="0.2">
      <c r="B211" s="11" t="s">
        <v>13</v>
      </c>
      <c r="J211" s="10" t="s">
        <v>13</v>
      </c>
    </row>
    <row r="212" spans="2:10" ht="15" customHeight="1" x14ac:dyDescent="0.2">
      <c r="B212" s="6" t="s">
        <v>372</v>
      </c>
      <c r="C212" s="7" t="s">
        <v>13</v>
      </c>
      <c r="D212" s="8" t="s">
        <v>13</v>
      </c>
      <c r="E212" s="7" t="s">
        <v>13</v>
      </c>
      <c r="F212" s="8" t="s">
        <v>13</v>
      </c>
      <c r="G212" s="8" t="s">
        <v>216</v>
      </c>
      <c r="H212" s="9" t="s">
        <v>216</v>
      </c>
      <c r="I212" s="8" t="s">
        <v>13</v>
      </c>
      <c r="J212" s="10" t="s">
        <v>13</v>
      </c>
    </row>
    <row r="213" spans="2:10" ht="15" customHeight="1" x14ac:dyDescent="0.2">
      <c r="B213" s="11" t="s">
        <v>13</v>
      </c>
      <c r="J213" s="10" t="s">
        <v>13</v>
      </c>
    </row>
    <row r="214" spans="2:10" ht="15" customHeight="1" x14ac:dyDescent="0.2">
      <c r="B214" s="6" t="s">
        <v>373</v>
      </c>
      <c r="C214" s="7" t="s">
        <v>13</v>
      </c>
      <c r="D214" s="8" t="s">
        <v>13</v>
      </c>
      <c r="E214" s="7" t="s">
        <v>13</v>
      </c>
      <c r="F214" s="8" t="s">
        <v>13</v>
      </c>
      <c r="G214" s="8">
        <v>591635</v>
      </c>
      <c r="H214" s="9">
        <v>0.11681197242619999</v>
      </c>
      <c r="I214" s="8" t="s">
        <v>13</v>
      </c>
      <c r="J214" s="10" t="s">
        <v>13</v>
      </c>
    </row>
    <row r="215" spans="2:10" ht="15" customHeight="1" x14ac:dyDescent="0.2">
      <c r="B215" s="11" t="s">
        <v>13</v>
      </c>
      <c r="J215" s="10" t="s">
        <v>13</v>
      </c>
    </row>
    <row r="216" spans="2:10" ht="15" customHeight="1" x14ac:dyDescent="0.2">
      <c r="B216" s="6" t="s">
        <v>374</v>
      </c>
      <c r="C216" s="7" t="s">
        <v>13</v>
      </c>
      <c r="D216" s="8" t="s">
        <v>13</v>
      </c>
      <c r="E216" s="7" t="s">
        <v>13</v>
      </c>
      <c r="F216" s="8" t="s">
        <v>13</v>
      </c>
      <c r="G216" s="8">
        <v>54550.634204799993</v>
      </c>
      <c r="H216" s="9">
        <v>1.0770436466E-2</v>
      </c>
      <c r="I216" s="8"/>
      <c r="J216" s="10"/>
    </row>
    <row r="217" spans="2:10" ht="15" customHeight="1" x14ac:dyDescent="0.2">
      <c r="B217" s="11" t="s">
        <v>375</v>
      </c>
      <c r="C217" s="2"/>
      <c r="D217" s="2" t="s">
        <v>13</v>
      </c>
      <c r="E217" s="2"/>
      <c r="G217" s="13">
        <v>54550.634204799993</v>
      </c>
      <c r="H217" s="14">
        <v>1.0770436466E-2</v>
      </c>
      <c r="I217" s="13"/>
      <c r="J217" s="10"/>
    </row>
    <row r="218" spans="2:10" ht="15" customHeight="1" x14ac:dyDescent="0.2">
      <c r="B218" s="11" t="s">
        <v>13</v>
      </c>
      <c r="I218" s="13"/>
      <c r="J218" s="13"/>
    </row>
    <row r="219" spans="2:10" ht="15" customHeight="1" x14ac:dyDescent="0.2">
      <c r="B219" s="16" t="s">
        <v>376</v>
      </c>
      <c r="C219" s="17" t="s">
        <v>13</v>
      </c>
      <c r="D219" s="17" t="s">
        <v>13</v>
      </c>
      <c r="E219" s="17" t="s">
        <v>13</v>
      </c>
      <c r="F219" s="17" t="s">
        <v>13</v>
      </c>
      <c r="G219" s="17">
        <v>-12057.429027651999</v>
      </c>
      <c r="H219" s="18">
        <v>-2.3806097798446373E-3</v>
      </c>
      <c r="I219" s="27"/>
      <c r="J219" s="17"/>
    </row>
    <row r="220" spans="2:10" ht="15" customHeight="1" x14ac:dyDescent="0.2">
      <c r="B220" s="16" t="s">
        <v>377</v>
      </c>
      <c r="C220" s="17" t="s">
        <v>13</v>
      </c>
      <c r="D220" s="17" t="s">
        <v>13</v>
      </c>
      <c r="E220" s="17" t="s">
        <v>13</v>
      </c>
      <c r="F220" s="17" t="s">
        <v>13</v>
      </c>
      <c r="G220" s="17">
        <v>5064848.9851774303</v>
      </c>
      <c r="H220" s="18">
        <v>0.99999999999150557</v>
      </c>
      <c r="I220" s="17" t="s">
        <v>13</v>
      </c>
      <c r="J220" s="19" t="s">
        <v>13</v>
      </c>
    </row>
    <row r="222" spans="2:10" ht="15" customHeight="1" x14ac:dyDescent="0.2">
      <c r="B222" s="17" t="s">
        <v>378</v>
      </c>
      <c r="C222" s="17" t="s">
        <v>13</v>
      </c>
      <c r="D222" s="17" t="s">
        <v>13</v>
      </c>
      <c r="E222" s="17" t="s">
        <v>13</v>
      </c>
      <c r="F222" s="17" t="s">
        <v>13</v>
      </c>
      <c r="G222" s="17" t="s">
        <v>13</v>
      </c>
      <c r="H222" s="17" t="s">
        <v>13</v>
      </c>
    </row>
    <row r="223" spans="2:10" ht="15" customHeight="1" x14ac:dyDescent="0.2">
      <c r="B223" s="17" t="s">
        <v>3</v>
      </c>
      <c r="C223" s="17" t="s">
        <v>4</v>
      </c>
      <c r="D223" s="17" t="s">
        <v>5</v>
      </c>
      <c r="E223" s="17" t="s">
        <v>6</v>
      </c>
      <c r="F223" s="17" t="s">
        <v>7</v>
      </c>
      <c r="G223" s="17" t="s">
        <v>8</v>
      </c>
      <c r="H223" s="17" t="s">
        <v>9</v>
      </c>
    </row>
    <row r="224" spans="2:10" ht="15" customHeight="1" x14ac:dyDescent="0.2">
      <c r="B224" s="6" t="s">
        <v>379</v>
      </c>
      <c r="C224" s="7" t="s">
        <v>13</v>
      </c>
      <c r="D224" s="7" t="s">
        <v>13</v>
      </c>
      <c r="E224" s="7" t="s">
        <v>13</v>
      </c>
      <c r="F224" s="7" t="s">
        <v>13</v>
      </c>
      <c r="G224" s="7" t="s">
        <v>13</v>
      </c>
      <c r="H224" s="7" t="s">
        <v>13</v>
      </c>
    </row>
    <row r="225" spans="2:10" ht="15" customHeight="1" x14ac:dyDescent="0.2">
      <c r="B225" s="11" t="s">
        <v>380</v>
      </c>
      <c r="C225" s="2"/>
      <c r="D225" s="2" t="s">
        <v>13</v>
      </c>
      <c r="E225" s="2" t="s">
        <v>31</v>
      </c>
      <c r="F225" s="12">
        <v>720000</v>
      </c>
      <c r="G225" s="13">
        <v>4848.4800000000005</v>
      </c>
      <c r="H225" s="14">
        <v>9.5728026919999999E-4</v>
      </c>
      <c r="I225" s="13" t="s">
        <v>13</v>
      </c>
      <c r="J225" s="10" t="s">
        <v>13</v>
      </c>
    </row>
    <row r="226" spans="2:10" ht="15" customHeight="1" x14ac:dyDescent="0.2">
      <c r="B226" s="11" t="s">
        <v>381</v>
      </c>
      <c r="C226" s="2"/>
      <c r="D226" s="2" t="s">
        <v>13</v>
      </c>
      <c r="E226" s="2" t="s">
        <v>31</v>
      </c>
      <c r="F226" s="12">
        <v>-103000</v>
      </c>
      <c r="G226" s="13">
        <v>-1812.44</v>
      </c>
      <c r="H226" s="14">
        <v>-3.5784679960000002E-4</v>
      </c>
      <c r="I226" s="13" t="s">
        <v>13</v>
      </c>
      <c r="J226" s="10" t="s">
        <v>13</v>
      </c>
    </row>
    <row r="227" spans="2:10" ht="15" customHeight="1" x14ac:dyDescent="0.2">
      <c r="B227" s="11" t="s">
        <v>382</v>
      </c>
      <c r="C227" s="2"/>
      <c r="D227" s="2" t="s">
        <v>13</v>
      </c>
      <c r="E227" s="2" t="s">
        <v>36</v>
      </c>
      <c r="F227" s="12">
        <v>-450000</v>
      </c>
      <c r="G227" s="13">
        <v>-2498.85</v>
      </c>
      <c r="H227" s="14">
        <v>-4.9337107720000002E-4</v>
      </c>
      <c r="I227" s="13" t="s">
        <v>13</v>
      </c>
      <c r="J227" s="10" t="s">
        <v>13</v>
      </c>
    </row>
    <row r="228" spans="2:10" ht="15" customHeight="1" x14ac:dyDescent="0.2">
      <c r="B228" s="11" t="s">
        <v>383</v>
      </c>
      <c r="C228" s="2"/>
      <c r="D228" s="2" t="s">
        <v>13</v>
      </c>
      <c r="E228" s="2" t="s">
        <v>148</v>
      </c>
      <c r="F228" s="12">
        <v>-313000</v>
      </c>
      <c r="G228" s="13">
        <v>-2711.05</v>
      </c>
      <c r="H228" s="14">
        <v>-5.352676867E-4</v>
      </c>
      <c r="I228" s="13" t="s">
        <v>13</v>
      </c>
      <c r="J228" s="10" t="s">
        <v>13</v>
      </c>
    </row>
    <row r="229" spans="2:10" ht="15" customHeight="1" x14ac:dyDescent="0.2">
      <c r="B229" s="11" t="s">
        <v>384</v>
      </c>
      <c r="C229" s="2"/>
      <c r="D229" s="2" t="s">
        <v>13</v>
      </c>
      <c r="E229" s="2" t="s">
        <v>36</v>
      </c>
      <c r="F229" s="12">
        <v>-180000</v>
      </c>
      <c r="G229" s="13">
        <v>-2916.54</v>
      </c>
      <c r="H229" s="14">
        <v>-5.7583947879999995E-4</v>
      </c>
      <c r="I229" s="13" t="s">
        <v>13</v>
      </c>
      <c r="J229" s="10" t="s">
        <v>13</v>
      </c>
    </row>
    <row r="230" spans="2:10" ht="15" customHeight="1" x14ac:dyDescent="0.2">
      <c r="B230" s="11" t="s">
        <v>385</v>
      </c>
      <c r="C230" s="2"/>
      <c r="D230" s="2" t="s">
        <v>13</v>
      </c>
      <c r="E230" s="2" t="s">
        <v>36</v>
      </c>
      <c r="F230" s="12">
        <v>-179200</v>
      </c>
      <c r="G230" s="13">
        <v>-3182.23</v>
      </c>
      <c r="H230" s="14">
        <v>-6.2829711389999999E-4</v>
      </c>
      <c r="I230" s="13" t="s">
        <v>13</v>
      </c>
      <c r="J230" s="10" t="s">
        <v>13</v>
      </c>
    </row>
    <row r="231" spans="2:10" ht="15" customHeight="1" x14ac:dyDescent="0.2">
      <c r="B231" s="11" t="s">
        <v>386</v>
      </c>
      <c r="C231" s="2"/>
      <c r="D231" s="2" t="s">
        <v>13</v>
      </c>
      <c r="E231" s="2" t="s">
        <v>50</v>
      </c>
      <c r="F231" s="12">
        <v>-1328250</v>
      </c>
      <c r="G231" s="13">
        <v>-3544.44</v>
      </c>
      <c r="H231" s="14">
        <v>-6.9981158569999995E-4</v>
      </c>
      <c r="I231" s="13" t="s">
        <v>13</v>
      </c>
      <c r="J231" s="10" t="s">
        <v>13</v>
      </c>
    </row>
    <row r="232" spans="2:10" ht="15" customHeight="1" x14ac:dyDescent="0.2">
      <c r="B232" s="11" t="s">
        <v>387</v>
      </c>
      <c r="C232" s="2"/>
      <c r="D232" s="2" t="s">
        <v>13</v>
      </c>
      <c r="E232" s="2" t="s">
        <v>94</v>
      </c>
      <c r="F232" s="12">
        <v>-160000</v>
      </c>
      <c r="G232" s="13">
        <v>-4711.12</v>
      </c>
      <c r="H232" s="14">
        <v>-9.3016001340000005E-4</v>
      </c>
      <c r="I232" s="13" t="s">
        <v>13</v>
      </c>
      <c r="J232" s="10" t="s">
        <v>13</v>
      </c>
    </row>
    <row r="233" spans="2:10" ht="15" customHeight="1" x14ac:dyDescent="0.2">
      <c r="B233" s="11" t="s">
        <v>388</v>
      </c>
      <c r="C233" s="2"/>
      <c r="D233" s="2" t="s">
        <v>13</v>
      </c>
      <c r="E233" s="2" t="s">
        <v>94</v>
      </c>
      <c r="F233" s="12">
        <v>-924000</v>
      </c>
      <c r="G233" s="13">
        <v>-4966.96</v>
      </c>
      <c r="H233" s="14">
        <v>-9.8067287179999995E-4</v>
      </c>
      <c r="I233" s="13" t="s">
        <v>13</v>
      </c>
      <c r="J233" s="10" t="s">
        <v>13</v>
      </c>
    </row>
    <row r="234" spans="2:10" ht="15" customHeight="1" x14ac:dyDescent="0.2">
      <c r="B234" s="11" t="s">
        <v>389</v>
      </c>
      <c r="C234" s="2"/>
      <c r="D234" s="2" t="s">
        <v>13</v>
      </c>
      <c r="E234" s="2" t="s">
        <v>42</v>
      </c>
      <c r="F234" s="12">
        <v>-355550</v>
      </c>
      <c r="G234" s="13">
        <v>-5662.84</v>
      </c>
      <c r="H234" s="14">
        <v>-1.1180668992000001E-3</v>
      </c>
      <c r="I234" s="13" t="s">
        <v>13</v>
      </c>
      <c r="J234" s="10" t="s">
        <v>13</v>
      </c>
    </row>
    <row r="235" spans="2:10" ht="15" customHeight="1" x14ac:dyDescent="0.2">
      <c r="B235" s="11" t="s">
        <v>390</v>
      </c>
      <c r="C235" s="2"/>
      <c r="D235" s="2" t="s">
        <v>13</v>
      </c>
      <c r="E235" s="2" t="s">
        <v>28</v>
      </c>
      <c r="F235" s="12">
        <v>-1942200</v>
      </c>
      <c r="G235" s="13">
        <v>-6078.11</v>
      </c>
      <c r="H235" s="14">
        <v>-1.2000574978E-3</v>
      </c>
      <c r="I235" s="13" t="s">
        <v>13</v>
      </c>
      <c r="J235" s="10" t="s">
        <v>13</v>
      </c>
    </row>
    <row r="236" spans="2:10" ht="15" customHeight="1" x14ac:dyDescent="0.2">
      <c r="B236" s="11" t="s">
        <v>391</v>
      </c>
      <c r="C236" s="2"/>
      <c r="D236" s="2" t="s">
        <v>13</v>
      </c>
      <c r="E236" s="2" t="s">
        <v>99</v>
      </c>
      <c r="F236" s="12">
        <v>-281100</v>
      </c>
      <c r="G236" s="13">
        <v>-6568.32</v>
      </c>
      <c r="H236" s="14">
        <v>-1.296844194E-3</v>
      </c>
      <c r="I236" s="13" t="s">
        <v>13</v>
      </c>
      <c r="J236" s="10" t="s">
        <v>13</v>
      </c>
    </row>
    <row r="237" spans="2:10" ht="15" customHeight="1" x14ac:dyDescent="0.2">
      <c r="B237" s="11" t="s">
        <v>392</v>
      </c>
      <c r="C237" s="2"/>
      <c r="D237" s="2" t="s">
        <v>13</v>
      </c>
      <c r="E237" s="2" t="s">
        <v>109</v>
      </c>
      <c r="F237" s="12">
        <v>-956200</v>
      </c>
      <c r="G237" s="13">
        <v>-6603.04</v>
      </c>
      <c r="H237" s="14">
        <v>-1.3036992847999999E-3</v>
      </c>
      <c r="I237" s="13" t="s">
        <v>13</v>
      </c>
      <c r="J237" s="10" t="s">
        <v>13</v>
      </c>
    </row>
    <row r="238" spans="2:10" ht="15" customHeight="1" x14ac:dyDescent="0.2">
      <c r="B238" s="11" t="s">
        <v>393</v>
      </c>
      <c r="C238" s="2"/>
      <c r="D238" s="2" t="s">
        <v>13</v>
      </c>
      <c r="E238" s="2" t="s">
        <v>151</v>
      </c>
      <c r="F238" s="12">
        <v>-1541000</v>
      </c>
      <c r="G238" s="13">
        <v>-7189.54</v>
      </c>
      <c r="H238" s="14">
        <v>-1.4194974067000001E-3</v>
      </c>
      <c r="I238" s="13" t="s">
        <v>13</v>
      </c>
      <c r="J238" s="10" t="s">
        <v>13</v>
      </c>
    </row>
    <row r="239" spans="2:10" ht="15" customHeight="1" x14ac:dyDescent="0.2">
      <c r="B239" s="11" t="s">
        <v>394</v>
      </c>
      <c r="C239" s="2"/>
      <c r="D239" s="2" t="s">
        <v>13</v>
      </c>
      <c r="E239" s="2" t="s">
        <v>17</v>
      </c>
      <c r="F239" s="12">
        <v>-607600</v>
      </c>
      <c r="G239" s="13">
        <v>-7908.22</v>
      </c>
      <c r="H239" s="14">
        <v>-1.5613930489999999E-3</v>
      </c>
      <c r="I239" s="13" t="s">
        <v>13</v>
      </c>
      <c r="J239" s="10" t="s">
        <v>13</v>
      </c>
    </row>
    <row r="240" spans="2:10" ht="15" customHeight="1" x14ac:dyDescent="0.2">
      <c r="B240" s="11" t="s">
        <v>395</v>
      </c>
      <c r="C240" s="2"/>
      <c r="D240" s="2" t="s">
        <v>13</v>
      </c>
      <c r="E240" s="2" t="s">
        <v>42</v>
      </c>
      <c r="F240" s="12">
        <v>-2675000</v>
      </c>
      <c r="G240" s="13">
        <v>-8495.7999999999993</v>
      </c>
      <c r="H240" s="14">
        <v>-1.6774044052999999E-3</v>
      </c>
      <c r="I240" s="13" t="s">
        <v>13</v>
      </c>
      <c r="J240" s="10" t="s">
        <v>13</v>
      </c>
    </row>
    <row r="241" spans="2:10" ht="15" customHeight="1" x14ac:dyDescent="0.2">
      <c r="B241" s="11" t="s">
        <v>396</v>
      </c>
      <c r="C241" s="2"/>
      <c r="D241" s="2" t="s">
        <v>13</v>
      </c>
      <c r="E241" s="2" t="s">
        <v>17</v>
      </c>
      <c r="F241" s="12">
        <v>-825500</v>
      </c>
      <c r="G241" s="13">
        <v>-8776.7199999999993</v>
      </c>
      <c r="H241" s="14">
        <v>-1.7328690402E-3</v>
      </c>
      <c r="I241" s="13" t="s">
        <v>13</v>
      </c>
      <c r="J241" s="10" t="s">
        <v>13</v>
      </c>
    </row>
    <row r="242" spans="2:10" ht="15" customHeight="1" x14ac:dyDescent="0.2">
      <c r="B242" s="11" t="s">
        <v>397</v>
      </c>
      <c r="C242" s="2"/>
      <c r="D242" s="2" t="s">
        <v>13</v>
      </c>
      <c r="E242" s="2" t="s">
        <v>36</v>
      </c>
      <c r="F242" s="12">
        <v>-221900</v>
      </c>
      <c r="G242" s="13">
        <v>-8862.35</v>
      </c>
      <c r="H242" s="14">
        <v>-1.7497757634E-3</v>
      </c>
      <c r="I242" s="13" t="s">
        <v>13</v>
      </c>
      <c r="J242" s="10" t="s">
        <v>13</v>
      </c>
    </row>
    <row r="243" spans="2:10" ht="15" customHeight="1" x14ac:dyDescent="0.2">
      <c r="B243" s="11" t="s">
        <v>398</v>
      </c>
      <c r="C243" s="2"/>
      <c r="D243" s="2" t="s">
        <v>13</v>
      </c>
      <c r="E243" s="2" t="s">
        <v>31</v>
      </c>
      <c r="F243" s="12">
        <v>-1626000</v>
      </c>
      <c r="G243" s="13">
        <v>-10323.469999999999</v>
      </c>
      <c r="H243" s="14">
        <v>-2.0382582046999998E-3</v>
      </c>
      <c r="I243" s="13" t="s">
        <v>13</v>
      </c>
      <c r="J243" s="10" t="s">
        <v>13</v>
      </c>
    </row>
    <row r="244" spans="2:10" ht="15" customHeight="1" x14ac:dyDescent="0.2">
      <c r="B244" s="11" t="s">
        <v>399</v>
      </c>
      <c r="C244" s="2"/>
      <c r="D244" s="2" t="s">
        <v>13</v>
      </c>
      <c r="E244" s="2" t="s">
        <v>22</v>
      </c>
      <c r="F244" s="12">
        <v>-96700</v>
      </c>
      <c r="G244" s="13">
        <v>-10781.03</v>
      </c>
      <c r="H244" s="14">
        <v>-2.1285985093E-3</v>
      </c>
      <c r="I244" s="13" t="s">
        <v>13</v>
      </c>
      <c r="J244" s="10" t="s">
        <v>13</v>
      </c>
    </row>
    <row r="245" spans="2:10" ht="15" customHeight="1" x14ac:dyDescent="0.2">
      <c r="B245" s="11" t="s">
        <v>400</v>
      </c>
      <c r="C245" s="2"/>
      <c r="D245" s="2" t="s">
        <v>13</v>
      </c>
      <c r="E245" s="2" t="s">
        <v>42</v>
      </c>
      <c r="F245" s="12">
        <v>-600250</v>
      </c>
      <c r="G245" s="13">
        <v>-11166.15</v>
      </c>
      <c r="H245" s="14">
        <v>-2.2046363143999998E-3</v>
      </c>
      <c r="I245" s="13" t="s">
        <v>13</v>
      </c>
      <c r="J245" s="10" t="s">
        <v>13</v>
      </c>
    </row>
    <row r="246" spans="2:10" ht="15" customHeight="1" x14ac:dyDescent="0.2">
      <c r="B246" s="11" t="s">
        <v>401</v>
      </c>
      <c r="C246" s="2"/>
      <c r="D246" s="2" t="s">
        <v>13</v>
      </c>
      <c r="E246" s="2" t="s">
        <v>65</v>
      </c>
      <c r="F246" s="12">
        <v>-700625</v>
      </c>
      <c r="G246" s="13">
        <v>-11374.300000000001</v>
      </c>
      <c r="H246" s="14">
        <v>-2.2457332949E-3</v>
      </c>
      <c r="I246" s="13" t="s">
        <v>13</v>
      </c>
      <c r="J246" s="10" t="s">
        <v>13</v>
      </c>
    </row>
    <row r="247" spans="2:10" ht="15" customHeight="1" x14ac:dyDescent="0.2">
      <c r="B247" s="11" t="s">
        <v>402</v>
      </c>
      <c r="C247" s="2"/>
      <c r="D247" s="2" t="s">
        <v>13</v>
      </c>
      <c r="E247" s="2" t="s">
        <v>42</v>
      </c>
      <c r="F247" s="12">
        <v>-196400</v>
      </c>
      <c r="G247" s="13">
        <v>-11424.39</v>
      </c>
      <c r="H247" s="14">
        <v>-2.2556230271000002E-3</v>
      </c>
      <c r="I247" s="13" t="s">
        <v>13</v>
      </c>
      <c r="J247" s="10" t="s">
        <v>13</v>
      </c>
    </row>
    <row r="248" spans="2:10" ht="15" customHeight="1" x14ac:dyDescent="0.2">
      <c r="B248" s="11" t="s">
        <v>403</v>
      </c>
      <c r="C248" s="2"/>
      <c r="D248" s="2" t="s">
        <v>13</v>
      </c>
      <c r="E248" s="2" t="s">
        <v>42</v>
      </c>
      <c r="F248" s="12">
        <v>-780000</v>
      </c>
      <c r="G248" s="13">
        <v>-12169.95</v>
      </c>
      <c r="H248" s="14">
        <v>-2.4028258364999998E-3</v>
      </c>
      <c r="I248" s="13" t="s">
        <v>13</v>
      </c>
      <c r="J248" s="10" t="s">
        <v>13</v>
      </c>
    </row>
    <row r="249" spans="2:10" ht="15" customHeight="1" x14ac:dyDescent="0.2">
      <c r="B249" s="11" t="s">
        <v>404</v>
      </c>
      <c r="C249" s="2"/>
      <c r="D249" s="2" t="s">
        <v>13</v>
      </c>
      <c r="E249" s="2" t="s">
        <v>17</v>
      </c>
      <c r="F249" s="12">
        <v>-6355000</v>
      </c>
      <c r="G249" s="13">
        <v>-13014.4</v>
      </c>
      <c r="H249" s="14">
        <v>-2.5695534137000001E-3</v>
      </c>
      <c r="I249" s="13" t="s">
        <v>13</v>
      </c>
      <c r="J249" s="10" t="s">
        <v>13</v>
      </c>
    </row>
    <row r="250" spans="2:10" ht="15" customHeight="1" x14ac:dyDescent="0.2">
      <c r="B250" s="11" t="s">
        <v>405</v>
      </c>
      <c r="C250" s="2"/>
      <c r="D250" s="2" t="s">
        <v>13</v>
      </c>
      <c r="E250" s="2" t="s">
        <v>143</v>
      </c>
      <c r="F250" s="12">
        <v>-2877000</v>
      </c>
      <c r="G250" s="13">
        <v>-13071.65</v>
      </c>
      <c r="H250" s="14">
        <v>-2.5808568108999998E-3</v>
      </c>
      <c r="I250" s="13" t="s">
        <v>13</v>
      </c>
      <c r="J250" s="10" t="s">
        <v>13</v>
      </c>
    </row>
    <row r="251" spans="2:10" ht="15" customHeight="1" x14ac:dyDescent="0.2">
      <c r="B251" s="11" t="s">
        <v>406</v>
      </c>
      <c r="C251" s="2"/>
      <c r="D251" s="2" t="s">
        <v>13</v>
      </c>
      <c r="E251" s="2" t="s">
        <v>17</v>
      </c>
      <c r="F251" s="12">
        <v>-1261250</v>
      </c>
      <c r="G251" s="13">
        <v>-14739.6</v>
      </c>
      <c r="H251" s="14">
        <v>-2.9101756128999999E-3</v>
      </c>
      <c r="I251" s="13" t="s">
        <v>13</v>
      </c>
      <c r="J251" s="10" t="s">
        <v>13</v>
      </c>
    </row>
    <row r="252" spans="2:10" ht="15" customHeight="1" x14ac:dyDescent="0.2">
      <c r="B252" s="11" t="s">
        <v>407</v>
      </c>
      <c r="C252" s="2"/>
      <c r="D252" s="2" t="s">
        <v>13</v>
      </c>
      <c r="E252" s="2" t="s">
        <v>156</v>
      </c>
      <c r="F252" s="12">
        <v>-7085000</v>
      </c>
      <c r="G252" s="13">
        <v>-14768.68</v>
      </c>
      <c r="H252" s="14">
        <v>-2.9159171463999998E-3</v>
      </c>
      <c r="I252" s="13" t="s">
        <v>13</v>
      </c>
      <c r="J252" s="10" t="s">
        <v>13</v>
      </c>
    </row>
    <row r="253" spans="2:10" ht="15" customHeight="1" x14ac:dyDescent="0.2">
      <c r="B253" s="11" t="s">
        <v>408</v>
      </c>
      <c r="C253" s="2"/>
      <c r="D253" s="2" t="s">
        <v>13</v>
      </c>
      <c r="E253" s="2" t="s">
        <v>22</v>
      </c>
      <c r="F253" s="12">
        <v>-2194500</v>
      </c>
      <c r="G253" s="13">
        <v>-18429.41</v>
      </c>
      <c r="H253" s="14">
        <v>-3.6386889429E-3</v>
      </c>
      <c r="I253" s="13" t="s">
        <v>13</v>
      </c>
      <c r="J253" s="10" t="s">
        <v>13</v>
      </c>
    </row>
    <row r="254" spans="2:10" ht="15" customHeight="1" x14ac:dyDescent="0.2">
      <c r="B254" s="11" t="s">
        <v>409</v>
      </c>
      <c r="C254" s="2"/>
      <c r="D254" s="2" t="s">
        <v>13</v>
      </c>
      <c r="E254" s="2" t="s">
        <v>17</v>
      </c>
      <c r="F254" s="12">
        <v>-1124750</v>
      </c>
      <c r="G254" s="13">
        <v>-19658.38</v>
      </c>
      <c r="H254" s="14">
        <v>-3.8813358616000002E-3</v>
      </c>
      <c r="I254" s="13" t="s">
        <v>13</v>
      </c>
      <c r="J254" s="10" t="s">
        <v>13</v>
      </c>
    </row>
    <row r="255" spans="2:10" ht="15" customHeight="1" x14ac:dyDescent="0.2">
      <c r="B255" s="11" t="s">
        <v>410</v>
      </c>
      <c r="C255" s="2"/>
      <c r="D255" s="2" t="s">
        <v>13</v>
      </c>
      <c r="E255" s="2" t="s">
        <v>99</v>
      </c>
      <c r="F255" s="12">
        <v>-762000</v>
      </c>
      <c r="G255" s="13">
        <v>-20652.87</v>
      </c>
      <c r="H255" s="14">
        <v>-4.0776872243000004E-3</v>
      </c>
      <c r="I255" s="13" t="s">
        <v>13</v>
      </c>
      <c r="J255" s="10" t="s">
        <v>13</v>
      </c>
    </row>
    <row r="256" spans="2:10" ht="15" customHeight="1" x14ac:dyDescent="0.2">
      <c r="B256" s="11" t="s">
        <v>411</v>
      </c>
      <c r="C256" s="2"/>
      <c r="D256" s="2" t="s">
        <v>13</v>
      </c>
      <c r="E256" s="2" t="s">
        <v>25</v>
      </c>
      <c r="F256" s="12">
        <v>-5082000</v>
      </c>
      <c r="G256" s="13">
        <v>-20859.07</v>
      </c>
      <c r="H256" s="14">
        <v>-4.1183991981999998E-3</v>
      </c>
      <c r="I256" s="13" t="s">
        <v>13</v>
      </c>
      <c r="J256" s="10" t="s">
        <v>13</v>
      </c>
    </row>
    <row r="257" spans="2:10" ht="15" customHeight="1" x14ac:dyDescent="0.2">
      <c r="B257" s="11" t="s">
        <v>412</v>
      </c>
      <c r="C257" s="2"/>
      <c r="D257" s="2" t="s">
        <v>13</v>
      </c>
      <c r="E257" s="2" t="s">
        <v>28</v>
      </c>
      <c r="F257" s="12">
        <v>-1684000</v>
      </c>
      <c r="G257" s="13">
        <v>-22544.55</v>
      </c>
      <c r="H257" s="14">
        <v>-4.4511791102999996E-3</v>
      </c>
      <c r="I257" s="13" t="s">
        <v>13</v>
      </c>
      <c r="J257" s="10" t="s">
        <v>13</v>
      </c>
    </row>
    <row r="258" spans="2:10" ht="15" customHeight="1" x14ac:dyDescent="0.2">
      <c r="B258" s="11" t="s">
        <v>413</v>
      </c>
      <c r="C258" s="2"/>
      <c r="D258" s="2" t="s">
        <v>13</v>
      </c>
      <c r="E258" s="2" t="s">
        <v>62</v>
      </c>
      <c r="F258" s="12">
        <v>-3715800</v>
      </c>
      <c r="G258" s="13">
        <v>-26909.82</v>
      </c>
      <c r="H258" s="14">
        <v>-5.3130547580999997E-3</v>
      </c>
      <c r="I258" s="13" t="s">
        <v>13</v>
      </c>
      <c r="J258" s="10" t="s">
        <v>13</v>
      </c>
    </row>
    <row r="259" spans="2:10" ht="15" customHeight="1" x14ac:dyDescent="0.2">
      <c r="B259" s="11" t="s">
        <v>414</v>
      </c>
      <c r="C259" s="2"/>
      <c r="D259" s="2" t="s">
        <v>13</v>
      </c>
      <c r="E259" s="2" t="s">
        <v>117</v>
      </c>
      <c r="F259" s="12">
        <v>-15783300</v>
      </c>
      <c r="G259" s="13">
        <v>-28709.82</v>
      </c>
      <c r="H259" s="14">
        <v>-5.6684454134000003E-3</v>
      </c>
      <c r="I259" s="13" t="s">
        <v>13</v>
      </c>
      <c r="J259" s="10" t="s">
        <v>13</v>
      </c>
    </row>
    <row r="260" spans="2:10" ht="15" customHeight="1" x14ac:dyDescent="0.2">
      <c r="B260" s="11" t="s">
        <v>415</v>
      </c>
      <c r="C260" s="2"/>
      <c r="D260" s="2" t="s">
        <v>13</v>
      </c>
      <c r="E260" s="2" t="s">
        <v>22</v>
      </c>
      <c r="F260" s="12">
        <v>-1230950</v>
      </c>
      <c r="G260" s="13">
        <v>-30811.29</v>
      </c>
      <c r="H260" s="14">
        <v>-6.0833580803999997E-3</v>
      </c>
      <c r="I260" s="13" t="s">
        <v>13</v>
      </c>
      <c r="J260" s="10" t="s">
        <v>13</v>
      </c>
    </row>
    <row r="261" spans="2:10" ht="15" customHeight="1" x14ac:dyDescent="0.2">
      <c r="B261" s="11" t="s">
        <v>416</v>
      </c>
      <c r="C261" s="2"/>
      <c r="D261" s="2" t="s">
        <v>13</v>
      </c>
      <c r="E261" s="2" t="s">
        <v>39</v>
      </c>
      <c r="F261" s="12">
        <v>-868650</v>
      </c>
      <c r="G261" s="13">
        <v>-31677.06</v>
      </c>
      <c r="H261" s="14">
        <v>-6.2542950624000001E-3</v>
      </c>
      <c r="I261" s="13" t="s">
        <v>13</v>
      </c>
      <c r="J261" s="10" t="s">
        <v>13</v>
      </c>
    </row>
    <row r="262" spans="2:10" ht="15" customHeight="1" x14ac:dyDescent="0.2">
      <c r="B262" s="11" t="s">
        <v>417</v>
      </c>
      <c r="C262" s="2"/>
      <c r="D262" s="2" t="s">
        <v>13</v>
      </c>
      <c r="E262" s="2" t="s">
        <v>28</v>
      </c>
      <c r="F262" s="12">
        <v>-8681175</v>
      </c>
      <c r="G262" s="13">
        <v>-33283.620000000003</v>
      </c>
      <c r="H262" s="14">
        <v>-6.5714930686000001E-3</v>
      </c>
      <c r="I262" s="13" t="s">
        <v>13</v>
      </c>
      <c r="J262" s="10" t="s">
        <v>13</v>
      </c>
    </row>
    <row r="263" spans="2:10" ht="15" customHeight="1" x14ac:dyDescent="0.2">
      <c r="B263" s="11" t="s">
        <v>418</v>
      </c>
      <c r="C263" s="2"/>
      <c r="D263" s="2" t="s">
        <v>13</v>
      </c>
      <c r="E263" s="2" t="s">
        <v>17</v>
      </c>
      <c r="F263" s="12">
        <v>-2054400</v>
      </c>
      <c r="G263" s="13">
        <v>-35820.520000000004</v>
      </c>
      <c r="H263" s="14">
        <v>-7.0723767095000004E-3</v>
      </c>
      <c r="I263" s="13" t="s">
        <v>13</v>
      </c>
      <c r="J263" s="10" t="s">
        <v>13</v>
      </c>
    </row>
    <row r="264" spans="2:10" ht="15" customHeight="1" x14ac:dyDescent="0.2">
      <c r="B264" s="11" t="s">
        <v>419</v>
      </c>
      <c r="C264" s="2"/>
      <c r="D264" s="2" t="s">
        <v>13</v>
      </c>
      <c r="E264" s="2" t="s">
        <v>62</v>
      </c>
      <c r="F264" s="12">
        <v>-2128000</v>
      </c>
      <c r="G264" s="13">
        <v>-41122.54</v>
      </c>
      <c r="H264" s="14">
        <v>-8.1192035774999994E-3</v>
      </c>
      <c r="I264" s="13" t="s">
        <v>13</v>
      </c>
      <c r="J264" s="10" t="s">
        <v>13</v>
      </c>
    </row>
    <row r="265" spans="2:10" ht="15" customHeight="1" x14ac:dyDescent="0.2">
      <c r="B265" s="11" t="s">
        <v>420</v>
      </c>
      <c r="C265" s="2"/>
      <c r="D265" s="2" t="s">
        <v>13</v>
      </c>
      <c r="E265" s="2" t="s">
        <v>42</v>
      </c>
      <c r="F265" s="12">
        <v>-2000475</v>
      </c>
      <c r="G265" s="13">
        <v>-44059.46</v>
      </c>
      <c r="H265" s="14">
        <v>-8.6990668682999997E-3</v>
      </c>
      <c r="I265" s="13" t="s">
        <v>13</v>
      </c>
      <c r="J265" s="10" t="s">
        <v>13</v>
      </c>
    </row>
    <row r="266" spans="2:10" ht="15" customHeight="1" x14ac:dyDescent="0.2">
      <c r="B266" s="11" t="s">
        <v>421</v>
      </c>
      <c r="C266" s="2"/>
      <c r="D266" s="2" t="s">
        <v>13</v>
      </c>
      <c r="E266" s="2" t="s">
        <v>45</v>
      </c>
      <c r="F266" s="12">
        <v>-1535700</v>
      </c>
      <c r="G266" s="13">
        <v>-62598.200000000004</v>
      </c>
      <c r="H266" s="14">
        <v>-1.23593418447E-2</v>
      </c>
      <c r="I266" s="13" t="s">
        <v>13</v>
      </c>
      <c r="J266" s="10" t="s">
        <v>13</v>
      </c>
    </row>
    <row r="267" spans="2:10" ht="15" customHeight="1" x14ac:dyDescent="0.2">
      <c r="B267" s="11" t="s">
        <v>422</v>
      </c>
      <c r="C267" s="2"/>
      <c r="D267" s="2" t="s">
        <v>13</v>
      </c>
      <c r="E267" s="2" t="s">
        <v>423</v>
      </c>
      <c r="F267" s="12">
        <v>-920450</v>
      </c>
      <c r="G267" s="13">
        <v>-224482.11000000002</v>
      </c>
      <c r="H267" s="14">
        <v>-4.4321580101700002E-2</v>
      </c>
      <c r="I267" s="13" t="s">
        <v>13</v>
      </c>
      <c r="J267" s="10" t="s">
        <v>13</v>
      </c>
    </row>
    <row r="268" spans="2:10" ht="15" customHeight="1" x14ac:dyDescent="0.2">
      <c r="B268" s="6" t="s">
        <v>424</v>
      </c>
      <c r="C268" s="7" t="s">
        <v>13</v>
      </c>
      <c r="D268" s="7" t="s">
        <v>13</v>
      </c>
      <c r="E268" s="7" t="s">
        <v>13</v>
      </c>
      <c r="F268" s="7" t="s">
        <v>13</v>
      </c>
      <c r="G268" s="7" t="s">
        <v>13</v>
      </c>
      <c r="H268" s="7" t="s">
        <v>13</v>
      </c>
    </row>
    <row r="269" spans="2:10" ht="12.75" x14ac:dyDescent="0.2">
      <c r="B269" s="6" t="s">
        <v>425</v>
      </c>
      <c r="J269" s="10" t="s">
        <v>13</v>
      </c>
    </row>
    <row r="270" spans="2:10" ht="15" customHeight="1" x14ac:dyDescent="0.2">
      <c r="B270" s="11" t="s">
        <v>426</v>
      </c>
      <c r="C270" s="2"/>
      <c r="D270" s="2" t="s">
        <v>13</v>
      </c>
      <c r="E270" s="2" t="s">
        <v>427</v>
      </c>
      <c r="F270" s="12">
        <v>2853</v>
      </c>
      <c r="G270" s="13">
        <v>223760.79</v>
      </c>
      <c r="H270" s="14">
        <v>4.4179163219799998E-2</v>
      </c>
      <c r="I270" s="13" t="s">
        <v>13</v>
      </c>
      <c r="J270" s="10" t="s">
        <v>13</v>
      </c>
    </row>
    <row r="271" spans="2:10" ht="15" customHeight="1" x14ac:dyDescent="0.2">
      <c r="B271" s="11" t="s">
        <v>428</v>
      </c>
      <c r="C271" s="2"/>
      <c r="D271" s="2" t="s">
        <v>13</v>
      </c>
      <c r="E271" s="2" t="s">
        <v>429</v>
      </c>
      <c r="F271" s="12">
        <v>2300</v>
      </c>
      <c r="G271" s="13">
        <v>65295.39</v>
      </c>
      <c r="H271" s="14">
        <v>1.2891873023400001E-2</v>
      </c>
      <c r="I271" s="13" t="s">
        <v>13</v>
      </c>
      <c r="J271" s="10" t="s">
        <v>13</v>
      </c>
    </row>
    <row r="272" spans="2:10" ht="15" customHeight="1" x14ac:dyDescent="0.2">
      <c r="B272" s="11" t="s">
        <v>430</v>
      </c>
      <c r="C272" s="2"/>
      <c r="D272" s="2" t="s">
        <v>13</v>
      </c>
      <c r="E272" s="2" t="s">
        <v>431</v>
      </c>
      <c r="F272" s="12">
        <v>1750</v>
      </c>
      <c r="G272" s="13">
        <v>36778.44</v>
      </c>
      <c r="H272" s="14">
        <v>7.2615077187000001E-3</v>
      </c>
      <c r="I272" s="13" t="s">
        <v>13</v>
      </c>
      <c r="J272" s="10" t="s">
        <v>13</v>
      </c>
    </row>
    <row r="273" spans="2:10" ht="15" customHeight="1" x14ac:dyDescent="0.2">
      <c r="B273" s="11" t="s">
        <v>432</v>
      </c>
      <c r="C273" s="2"/>
      <c r="D273" s="2" t="s">
        <v>13</v>
      </c>
      <c r="E273" s="2" t="s">
        <v>433</v>
      </c>
      <c r="F273" s="12">
        <v>4400</v>
      </c>
      <c r="G273" s="13">
        <v>25621.200000000001</v>
      </c>
      <c r="H273" s="14">
        <v>5.0586305879000001E-3</v>
      </c>
      <c r="I273" s="13" t="s">
        <v>13</v>
      </c>
      <c r="J273" s="10" t="s">
        <v>13</v>
      </c>
    </row>
    <row r="274" spans="2:10" ht="15" customHeight="1" x14ac:dyDescent="0.2">
      <c r="B274" s="11" t="s">
        <v>434</v>
      </c>
      <c r="C274" s="2"/>
      <c r="D274" s="2" t="s">
        <v>13</v>
      </c>
      <c r="E274" s="2" t="s">
        <v>435</v>
      </c>
      <c r="F274" s="12">
        <v>650000</v>
      </c>
      <c r="G274" s="13">
        <v>7775.63</v>
      </c>
      <c r="H274" s="14">
        <v>1.5352145785000001E-3</v>
      </c>
      <c r="I274" s="13" t="s">
        <v>13</v>
      </c>
      <c r="J274" s="10" t="s">
        <v>13</v>
      </c>
    </row>
    <row r="275" spans="2:10" ht="15" customHeight="1" x14ac:dyDescent="0.2">
      <c r="B275" s="11" t="s">
        <v>436</v>
      </c>
      <c r="C275" s="2"/>
      <c r="D275" s="2" t="s">
        <v>13</v>
      </c>
      <c r="E275" s="2" t="s">
        <v>431</v>
      </c>
      <c r="F275" s="12">
        <v>100</v>
      </c>
      <c r="G275" s="13">
        <v>2104.25</v>
      </c>
      <c r="H275" s="14">
        <v>4.1546154799999998E-4</v>
      </c>
      <c r="I275" s="13" t="s">
        <v>13</v>
      </c>
      <c r="J275" s="10" t="s">
        <v>13</v>
      </c>
    </row>
    <row r="279" spans="2:10" ht="15" customHeight="1" x14ac:dyDescent="0.2">
      <c r="B279" s="22" t="s">
        <v>437</v>
      </c>
      <c r="C279" s="21"/>
      <c r="D279" s="21"/>
      <c r="E279" s="21"/>
      <c r="F279" s="21"/>
      <c r="G279" s="21"/>
      <c r="H279" s="21"/>
      <c r="I279" s="21"/>
    </row>
    <row r="283" spans="2:10" ht="15" customHeight="1" x14ac:dyDescent="0.2">
      <c r="B283" s="22" t="s">
        <v>438</v>
      </c>
      <c r="C283" s="21"/>
      <c r="D283" s="21"/>
      <c r="E283" s="21"/>
      <c r="F283" s="21"/>
      <c r="G283" s="21"/>
      <c r="H283" s="21"/>
      <c r="I283" s="21"/>
    </row>
    <row r="284" spans="2:10" ht="15" customHeight="1" x14ac:dyDescent="0.2">
      <c r="B284" s="22" t="s">
        <v>439</v>
      </c>
      <c r="C284" s="21"/>
      <c r="D284" s="21"/>
      <c r="E284" s="21"/>
      <c r="F284" s="21"/>
      <c r="G284" s="21"/>
      <c r="H284" s="21"/>
    </row>
    <row r="285" spans="2:10" ht="15" customHeight="1" x14ac:dyDescent="0.2">
      <c r="B285" s="22" t="s">
        <v>440</v>
      </c>
      <c r="C285" s="21"/>
      <c r="D285" s="21"/>
      <c r="E285" s="21"/>
      <c r="F285" s="21"/>
      <c r="G285" s="21"/>
      <c r="H285" s="21"/>
    </row>
    <row r="286" spans="2:10" ht="15" customHeight="1" x14ac:dyDescent="0.2">
      <c r="B286" s="22" t="s">
        <v>441</v>
      </c>
      <c r="C286" s="21"/>
      <c r="D286" s="21"/>
      <c r="E286" s="21"/>
      <c r="F286" s="21"/>
      <c r="G286" s="21"/>
      <c r="H286" s="21"/>
    </row>
    <row r="287" spans="2:10" ht="15" customHeight="1" x14ac:dyDescent="0.2">
      <c r="B287" s="22" t="s">
        <v>442</v>
      </c>
      <c r="C287" s="21"/>
      <c r="D287" s="21"/>
      <c r="E287" s="21"/>
      <c r="F287" s="21"/>
      <c r="G287" s="21"/>
      <c r="H287" s="21"/>
    </row>
    <row r="288" spans="2:10" ht="27.6" customHeight="1" x14ac:dyDescent="0.2">
      <c r="B288" s="20" t="s">
        <v>443</v>
      </c>
      <c r="C288" s="21"/>
      <c r="D288" s="21"/>
      <c r="E288" s="21"/>
      <c r="F288" s="21"/>
      <c r="G288" s="21"/>
      <c r="H288" s="21"/>
    </row>
    <row r="289" spans="2:8" ht="27.6" customHeight="1" x14ac:dyDescent="0.2">
      <c r="B289" s="20" t="s">
        <v>444</v>
      </c>
      <c r="C289" s="21"/>
      <c r="D289" s="21"/>
      <c r="E289" s="21"/>
      <c r="F289" s="21"/>
      <c r="G289" s="21"/>
      <c r="H289" s="21"/>
    </row>
    <row r="290" spans="2:8" ht="27.6" customHeight="1" x14ac:dyDescent="0.2">
      <c r="B290" s="20" t="s">
        <v>445</v>
      </c>
      <c r="C290" s="21"/>
      <c r="D290" s="21"/>
      <c r="E290" s="21"/>
      <c r="F290" s="21"/>
      <c r="G290" s="21"/>
      <c r="H290" s="21"/>
    </row>
    <row r="293" spans="2:8" ht="12.75" x14ac:dyDescent="0.2">
      <c r="B293" s="1" t="s">
        <v>446</v>
      </c>
    </row>
    <row r="308" spans="2:2" ht="12.75" x14ac:dyDescent="0.2">
      <c r="B308" s="1" t="s">
        <v>447</v>
      </c>
    </row>
    <row r="309" spans="2:2" ht="12.75" x14ac:dyDescent="0.2">
      <c r="B309" s="1" t="s">
        <v>448</v>
      </c>
    </row>
  </sheetData>
  <mergeCells count="12">
    <mergeCell ref="B1:J1"/>
    <mergeCell ref="B2:J2"/>
    <mergeCell ref="B3:J3"/>
    <mergeCell ref="B279:I279"/>
    <mergeCell ref="B283:I283"/>
    <mergeCell ref="B289:H289"/>
    <mergeCell ref="B290:H290"/>
    <mergeCell ref="B284:H284"/>
    <mergeCell ref="B285:H285"/>
    <mergeCell ref="B286:H286"/>
    <mergeCell ref="B287:H287"/>
    <mergeCell ref="B288:H28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2024-11-08T08:31:26Z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2024-11-07T10:49:24Z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47e44c91-ad9b-4aad-8cf3-b8e9e8c6275d</vt:lpwstr>
  </property>
  <property fmtid="{D5CDD505-2E9C-101B-9397-08002B2CF9AE}" pid="8" name="MSIP_Label_f43dd0be-22e7-4731-ba12-4b11f4b54d4f_ContentBits">
    <vt:lpwstr>0</vt:lpwstr>
  </property>
</Properties>
</file>